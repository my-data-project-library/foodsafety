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queryTables/queryTable1.xml" ContentType="application/vnd.openxmlformats-officedocument.spreadsheetml.queryTable+xml"/>
  <Override PartName="/xl/queryTables/queryTable2.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tabRatio="677" firstSheet="1" activeTab="4"/>
  </bookViews>
  <sheets>
    <sheet name="各省风险概况" sheetId="6" r:id="rId1"/>
    <sheet name="企业风险排行榜" sheetId="9" r:id="rId2"/>
    <sheet name="落后地区深度分析" sheetId="10" r:id="rId3"/>
    <sheet name="不合格项目热点分析" sheetId="11" r:id="rId4"/>
    <sheet name="不同程度占比" sheetId="12" r:id="rId5"/>
    <sheet name="按月分布情况" sheetId="13" r:id="rId6"/>
    <sheet name="深度清洗" sheetId="5" r:id="rId7"/>
    <sheet name="是否本地销售" sheetId="4" r:id="rId8"/>
    <sheet name="Sheet1" sheetId="1" r:id="rId9"/>
  </sheets>
  <definedNames>
    <definedName name="ExternalData_2" localSheetId="7" hidden="1">是否本地销售!$A$1:$B$3</definedName>
    <definedName name="ExternalData_3" localSheetId="6" hidden="1">深度清洗!$A$1:$S$51</definedName>
  </definedNam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查询 - 异地销售占比" description="与工作簿中“异地销售占比”查询的连接。" type="5" background="1" refreshedVersion="2" saveData="1">
    <dbPr connection="Provider=Microsoft.Mashup.OleDb.1;Data Source=$Workbook$;Location=异地销售占比;Extended Properties=&quot;&quot;" command="SELECT * FROM [异地销售占比]" commandType="2"/>
  </connection>
  <connection id="2" name="查询 - 深度清洗" description="与工作簿中“深度清洗”查询的连接。" type="5" background="1" refreshedVersion="2" saveData="1">
    <dbPr connection="Provider=Microsoft.Mashup.OleDb.1;Data Source=$Workbook$;Location=深度清洗;Extended Properties=&quot;&quot;" command="SELECT * FROM [深度清洗]" commandType="2"/>
  </connection>
</connections>
</file>

<file path=xl/sharedStrings.xml><?xml version="1.0" encoding="utf-8"?>
<sst xmlns="http://schemas.openxmlformats.org/spreadsheetml/2006/main" count="894" uniqueCount="487">
  <si>
    <t>是否本地</t>
  </si>
  <si>
    <t>(全部)</t>
  </si>
  <si>
    <t>计数项:不合格次数</t>
  </si>
  <si>
    <t>超标程度</t>
  </si>
  <si>
    <t>抽样地址</t>
  </si>
  <si>
    <t>含量不足</t>
  </si>
  <si>
    <t>轻度超标</t>
  </si>
  <si>
    <t>严重超标</t>
  </si>
  <si>
    <t>中度超标</t>
  </si>
  <si>
    <t>总计</t>
  </si>
  <si>
    <t>云南</t>
  </si>
  <si>
    <t>江苏</t>
  </si>
  <si>
    <t>海南</t>
  </si>
  <si>
    <t>甘肃</t>
  </si>
  <si>
    <t>湖北</t>
  </si>
  <si>
    <t>河南</t>
  </si>
  <si>
    <t>广东</t>
  </si>
  <si>
    <t>上海</t>
  </si>
  <si>
    <t>山东</t>
  </si>
  <si>
    <t>宁夏</t>
  </si>
  <si>
    <t>龙江</t>
  </si>
  <si>
    <t>江西</t>
  </si>
  <si>
    <t>湖南</t>
  </si>
  <si>
    <t>河北</t>
  </si>
  <si>
    <t>广西</t>
  </si>
  <si>
    <t>安徽</t>
  </si>
  <si>
    <t>新疆</t>
  </si>
  <si>
    <t>四川</t>
  </si>
  <si>
    <t>陕西</t>
  </si>
  <si>
    <t>内蒙</t>
  </si>
  <si>
    <t>贵州</t>
  </si>
  <si>
    <t>福建</t>
  </si>
  <si>
    <t>北京</t>
  </si>
  <si>
    <t>标称生产企业名称</t>
  </si>
  <si>
    <t>安徽国善中园健康产业发展有限公司</t>
  </si>
  <si>
    <t>贵阳花溪健强食品饮料有限公司</t>
  </si>
  <si>
    <t>供应商：靖远宝福堂水果经营部</t>
  </si>
  <si>
    <t>供应商：海南金田稻贸易有限公司；生产商：/</t>
  </si>
  <si>
    <t>供应商：海口龙华艺兴盛商行</t>
  </si>
  <si>
    <t>供应商：海口龙华鑫佳品副食批发商行；生产商：/</t>
  </si>
  <si>
    <t>供应商：桂林市临桂区鸿扬土特产商行；生产商：/</t>
  </si>
  <si>
    <t>供应商：百色市田阳区陈氏调味品店；生产商：/</t>
  </si>
  <si>
    <t>甘肃条山农工商（集团）有限责任公司食品分公司</t>
  </si>
  <si>
    <t>甘肃吉麦滋食品有限公司</t>
  </si>
  <si>
    <t>浮梁县老廖酒坊</t>
  </si>
  <si>
    <t>德州市众旺食品有限公司</t>
  </si>
  <si>
    <t>代理商（委托方）：广东伊达食品有限公司；生产商（被委托方）：广州市富农食品有限公司</t>
  </si>
  <si>
    <t>大名县京府黑芝麻小磨香油有限公司</t>
  </si>
  <si>
    <t>昌图晖晟食品有限公司</t>
  </si>
  <si>
    <t>安徽裕禾堂健康产业发展有限公司</t>
  </si>
  <si>
    <t>安徽千志健康产业有限公司</t>
  </si>
  <si>
    <t>安徽合天然制药有限公司</t>
  </si>
  <si>
    <t>安徽宝芝林药业有限公司</t>
  </si>
  <si>
    <t>是否为落后地区</t>
  </si>
  <si>
    <t>欠发达地区</t>
  </si>
  <si>
    <t>计数项:不合格项目</t>
  </si>
  <si>
    <t>不合格项目</t>
  </si>
  <si>
    <t>二氧化硫残留量</t>
  </si>
  <si>
    <t>霉菌</t>
  </si>
  <si>
    <t>铝的残留量（干样品，以Al计）</t>
  </si>
  <si>
    <t>脱氢乙酸及其钠盐（以脱氢乙酸计）</t>
  </si>
  <si>
    <t>诱惑红</t>
  </si>
  <si>
    <t>月份</t>
  </si>
  <si>
    <t>10月</t>
  </si>
  <si>
    <t>11月</t>
  </si>
  <si>
    <t>12月</t>
  </si>
  <si>
    <t>1月</t>
  </si>
  <si>
    <t>2月</t>
  </si>
  <si>
    <t>3月</t>
  </si>
  <si>
    <t>4月</t>
  </si>
  <si>
    <t>5月</t>
  </si>
  <si>
    <t>6月</t>
  </si>
  <si>
    <t>7月</t>
  </si>
  <si>
    <t>8月</t>
  </si>
  <si>
    <t>9月</t>
  </si>
  <si>
    <t>标称生产企业地址</t>
  </si>
  <si>
    <t>被抽样单位名称</t>
  </si>
  <si>
    <t>被抽样单位地址</t>
  </si>
  <si>
    <t>样品名称</t>
  </si>
  <si>
    <t>规格型号</t>
  </si>
  <si>
    <t>商标</t>
  </si>
  <si>
    <t>生产日期</t>
  </si>
  <si>
    <t>保质期</t>
  </si>
  <si>
    <t>检验值</t>
  </si>
  <si>
    <t>标准值</t>
  </si>
  <si>
    <t>标称地址</t>
  </si>
  <si>
    <t>企业类型</t>
  </si>
  <si>
    <t>江西省景德镇市浮梁县鹅湖镇天宝路7号</t>
  </si>
  <si>
    <t>糯谷酒</t>
  </si>
  <si>
    <t>散装，52%vol</t>
  </si>
  <si>
    <t>/</t>
  </si>
  <si>
    <t>甜蜜素（以环己基氨基磺酸计）</t>
  </si>
  <si>
    <t>0.00248g/kg</t>
  </si>
  <si>
    <t>不得使用</t>
  </si>
  <si>
    <t>是</t>
  </si>
  <si>
    <t>委托方：上海今古合生命科学研究所有限公司；受委托方：广东金海康医学营养品股份有限公司</t>
  </si>
  <si>
    <t>委托方地址：上海市奉贤区茂园路659号B622室；受委托方地址：广东省梅州市高新技术产业园区</t>
  </si>
  <si>
    <t>哈尔滨市医博田医疗器械有限公司</t>
  </si>
  <si>
    <t>黑龙江省哈尔滨市道里区埃德蒙顿路电炉小区6栋1层5-2号</t>
  </si>
  <si>
    <t>施儿佳营养包-Ⅰ型</t>
  </si>
  <si>
    <t>300g（10g×30）/盒</t>
  </si>
  <si>
    <t>图形</t>
  </si>
  <si>
    <t>24个月</t>
  </si>
  <si>
    <t>维生素C</t>
  </si>
  <si>
    <t>3.8mg/每日</t>
  </si>
  <si>
    <t>60—230mg/每日且实际含量不应低于标示值的80%</t>
  </si>
  <si>
    <t>否</t>
  </si>
  <si>
    <t>中国总代理商：深圳市茂凯进出口有限公司；生产商：/；原产国：马来西亚</t>
  </si>
  <si>
    <t>中国总代理商地址：广东省深圳市罗湖区桂园街道深南东路5002号信兴广场主楼40-3；生产商地址：/</t>
  </si>
  <si>
    <t>广州市每一角落连锁经营管理有限公司</t>
  </si>
  <si>
    <t>广东省广州市越秀区晴波路9号二沙岛文立方自编号：二层L225-L230</t>
  </si>
  <si>
    <t>BIHUN KAMPUNG爱一世咖喱味米粉（方便米粉）</t>
  </si>
  <si>
    <t>（米粉+配料65克×5，米粉：55克×5）/袋</t>
  </si>
  <si>
    <t>保质期至：2025/08/21</t>
  </si>
  <si>
    <t>菌落总数</t>
  </si>
  <si>
    <t>2.7×104CFU/g；4.3×104CFU/g；4.1×104CFU/g；1.4×104CFU/g；2.8×104CFU/g</t>
  </si>
  <si>
    <t>n=5，c=2，m=104CFU/g，M=105CFU/g</t>
  </si>
  <si>
    <t>安徽省亳州市涡阳县经济开发区新园街道花都大道667号</t>
  </si>
  <si>
    <t>牟定九雯百货商行</t>
  </si>
  <si>
    <t>云南省楚雄彝族自治州牟定县共和镇新南路牟定县电子商务公共服务中心4楼404号-1129</t>
  </si>
  <si>
    <t>多维钙铁锌营养包</t>
  </si>
  <si>
    <t>60克（2克×30袋）/罐</t>
  </si>
  <si>
    <t>营养钻石和图形</t>
  </si>
  <si>
    <t>维生素A</t>
  </si>
  <si>
    <t>未检出（定量限：30μg/100g）</t>
  </si>
  <si>
    <t>150—360μgRE/每日份且实际含量不应低于标示值的80%</t>
  </si>
  <si>
    <t>维生素B6</t>
  </si>
  <si>
    <t>0.0576mg/每日份</t>
  </si>
  <si>
    <t>≥0.20mg/每日份且实际含量不应低于标示值的80%</t>
  </si>
  <si>
    <t>叶酸</t>
  </si>
  <si>
    <t>未检出（定量限：1.0μg/100g）</t>
  </si>
  <si>
    <t>35.3—150μg/每日份且实际含量不应低于标示值的80%</t>
  </si>
  <si>
    <t>经销商：深圳市欧美汇贸易有限公司；生产商：/；原产国：美国</t>
  </si>
  <si>
    <t>经销商地址：广东省深圳市南山区蛇口街道雷岭社区招商路50号招东小区3栋501；生产商地址：/</t>
  </si>
  <si>
    <t>爱赋国际贸易（上海）有限公司泰晤士黄杨杂货商场</t>
  </si>
  <si>
    <t>中国（上海）自由贸易试验区黄杨路57号1层A区</t>
  </si>
  <si>
    <t>将军牌Chex肉桂味脆米麦片</t>
  </si>
  <si>
    <t>340克/盒</t>
  </si>
  <si>
    <t>Chex</t>
  </si>
  <si>
    <t>保质期至：2025年03月16日</t>
  </si>
  <si>
    <t>过氧化值（以脂肪计）</t>
  </si>
  <si>
    <t>0.30g/100g</t>
  </si>
  <si>
    <t>≤0.25g/100g</t>
  </si>
  <si>
    <t>安徽省亳州市高新区食品产业园曹腾路6号</t>
  </si>
  <si>
    <t>南昌欧霆文化传媒有限公司</t>
  </si>
  <si>
    <t>江西省南昌市南昌高新技术产业开发区紫阳大道2999号紫阳明珠一期酒店（第1-30层）2706</t>
  </si>
  <si>
    <t>薏湿糕</t>
  </si>
  <si>
    <t>250克/罐</t>
  </si>
  <si>
    <t>黄太阳</t>
  </si>
  <si>
    <t>90天</t>
  </si>
  <si>
    <t>大肠菌群</t>
  </si>
  <si>
    <t>5.2×103CFU/g；240CFU/g；30CFU/g；65CFU/g；430CFU/g</t>
  </si>
  <si>
    <t>n=5，c=2，m=10CFU/g，M=100CFU/g</t>
  </si>
  <si>
    <t>进口商/经销商：深圳西选商贸有限公司；生产商：Frito-LAY,INC；原产国：美国</t>
  </si>
  <si>
    <t>进口商/经销商地址：广东省深圳市南山区招商街道赤湾社区赤湾一路10号山灵数码A栋01-C118室；生产商地址：Plano,TX 75024-4099,USA</t>
  </si>
  <si>
    <t>福瑞托牌勺状玉米片（膨化食品）</t>
  </si>
  <si>
    <t>311.8克/袋</t>
  </si>
  <si>
    <t>Fritos</t>
  </si>
  <si>
    <t>保质期至：2024年11月30日</t>
  </si>
  <si>
    <t>0.47g/100g</t>
  </si>
  <si>
    <t>中国代理商：深圳市洋一食品有限公司；生产商：大华食品工业私人有限公司；原产国：新加坡</t>
  </si>
  <si>
    <t>中国代理商地址：广东省深圳市龙岗区南湾街道下李朗社区平朗路9号万国食品城C座10层C、D单元；生产商地址：12 Jalan Besut,Singapore 619566</t>
  </si>
  <si>
    <t>深圳市洋一食品有限公司</t>
  </si>
  <si>
    <t>广东省深圳市龙岗区南湾街道下李朗社区平朗路9号万国食品城C座10层C、D单元</t>
  </si>
  <si>
    <t>大华生抽酿造酱油</t>
  </si>
  <si>
    <t>640mL/瓶</t>
  </si>
  <si>
    <t>TAI HUA</t>
  </si>
  <si>
    <t>保质期至：2026/12/18</t>
  </si>
  <si>
    <t>氨基酸态氮</t>
  </si>
  <si>
    <t>0.68g/100mL</t>
  </si>
  <si>
    <t>≥0.4g/100mL</t>
  </si>
  <si>
    <t>安徽省亳州市高新区曹洪路369号A栋</t>
  </si>
  <si>
    <t>亳州市知鑫生物科技有限公司</t>
  </si>
  <si>
    <t>安徽省亳州市谯城区五马镇乔口行政村李园村民组1号</t>
  </si>
  <si>
    <t>酸枣仁百合茯苓茶</t>
  </si>
  <si>
    <t>150克（5克×30）/袋</t>
  </si>
  <si>
    <t>18个月</t>
  </si>
  <si>
    <t>1.5×104CFU/g</t>
  </si>
  <si>
    <t>≤103CFU/g</t>
  </si>
  <si>
    <t>甘肃省白银市景泰县一条山镇玉液路198号</t>
  </si>
  <si>
    <t>城关区新武都路陇恩综合商行</t>
  </si>
  <si>
    <t>甘肃省兰州市城关区新武都路194号</t>
  </si>
  <si>
    <t>景润蜂王浆</t>
  </si>
  <si>
    <t>（490克±10克）/瓶</t>
  </si>
  <si>
    <t>-18℃冷冻24个月，冷藏2个月（适合服用期间）</t>
  </si>
  <si>
    <t>10-羟基-2-癸烯酸</t>
  </si>
  <si>
    <t>未检出</t>
  </si>
  <si>
    <t>≥1.4%</t>
  </si>
  <si>
    <t>委托商：扬州乐意楼信息技术有限公司；被委托商：扬州绿佳食品有限公司</t>
  </si>
  <si>
    <t>委托商地址：/；被委托商地址：江苏省扬州市宝应县水泗芙蓉路1号</t>
  </si>
  <si>
    <t>扬州乐意楼信息技术有限公司</t>
  </si>
  <si>
    <t>江苏省扬州市宝应县淮江大道2号</t>
  </si>
  <si>
    <t>纯藕粉</t>
  </si>
  <si>
    <t>540g（18小袋）/袋</t>
  </si>
  <si>
    <t>淘藕人及图形商标</t>
  </si>
  <si>
    <t>12个月</t>
  </si>
  <si>
    <t>240CFU/g；110CFU/g；160CFU/g；200CFU/g；220CFU/g</t>
  </si>
  <si>
    <t>n=5，c=2，m=50CFU/g，M=100CFU/g</t>
  </si>
  <si>
    <t>庐江县山养堂农产品有限公司</t>
  </si>
  <si>
    <t>安徽省合肥市庐江县罗河镇高桥村余庄村民组</t>
  </si>
  <si>
    <t>莲子百合芡实营养米粉</t>
  </si>
  <si>
    <t>500克/桶</t>
  </si>
  <si>
    <t>山养堂</t>
  </si>
  <si>
    <t>1.1×103CFU/g；1.1×103CFU/g；1.1×103CFU/g；1.3×103CFU/g；1.1×103CFU/g</t>
  </si>
  <si>
    <t>山东巧能食品有限公司</t>
  </si>
  <si>
    <t>山东省菏泽市巨野县龙堌镇观集村北</t>
  </si>
  <si>
    <t>临沂市京优客购物广场有限公司</t>
  </si>
  <si>
    <t>山东省临沂市罗庄区罗庄街道罗五路财富广场132号</t>
  </si>
  <si>
    <t>坚果小饼（咸蛋黄坚果味）</t>
  </si>
  <si>
    <t>散装称重</t>
  </si>
  <si>
    <t>巧能和图形</t>
  </si>
  <si>
    <t>9个月</t>
  </si>
  <si>
    <t>100CFU/g</t>
  </si>
  <si>
    <t>≤50CFU/g</t>
  </si>
  <si>
    <t>夏津县全勇食品有限公司</t>
  </si>
  <si>
    <t>山东省德州市夏津县经济开发区砚池街西首西外环东20米（德昊制衣有限公司院内）</t>
  </si>
  <si>
    <t>汝州市彩墨百货商行（个体工商户）</t>
  </si>
  <si>
    <t>河南省平顶山市汝州市煤山街道向阳西路155号</t>
  </si>
  <si>
    <t>无蔗糖杂粮蛋糕</t>
  </si>
  <si>
    <t>尚食熊</t>
  </si>
  <si>
    <t>亮蓝</t>
  </si>
  <si>
    <t>0.0189g/kg</t>
  </si>
  <si>
    <t>海南万宁瑞鑫食品有限公司</t>
  </si>
  <si>
    <t>海南省万宁市礼纪镇三星村委会</t>
  </si>
  <si>
    <t>定安龙门广众连锁超市</t>
  </si>
  <si>
    <t>海南省定安县龙门镇解放街73号</t>
  </si>
  <si>
    <t>海顺陈醋</t>
  </si>
  <si>
    <t>420ml/瓶</t>
  </si>
  <si>
    <t>18个月（允许少量沉淀）</t>
  </si>
  <si>
    <t>不挥发酸（以乳酸计）</t>
  </si>
  <si>
    <t>0.06g/100mL</t>
  </si>
  <si>
    <t>≥0.50g/100mL</t>
  </si>
  <si>
    <t>进口商：绥芬河市明达国际贸易有限公司；生产商：俄罗斯新西伯利亚阿尔玛斯有限公司；原产国：俄罗斯</t>
  </si>
  <si>
    <t>进口商地址：黑龙江省牡丹江市绥芬河市综合保税区展馆二楼213-1；生产商地址：/</t>
  </si>
  <si>
    <t>绥芬河市卡伦堡食品百货商行</t>
  </si>
  <si>
    <t>黑龙江省牡丹江市绥芬河市迎泽建材家具城扩建（三期）绥芬河罗斯帝国商业管理有限公司一层A4-1号</t>
  </si>
  <si>
    <t>拉盟莎亚麻籽油</t>
  </si>
  <si>
    <t>0.5升/瓶</t>
  </si>
  <si>
    <t>酸价（KOH）</t>
  </si>
  <si>
    <t>5.8mg/g</t>
  </si>
  <si>
    <t>≤3mg/g</t>
  </si>
  <si>
    <t>代理商（委托方）地址：广东省揭阳市揭西县棉湖镇贡山村；生产商（被委托方）地址：广东省广州市白云区白云大道北友谊路加禾生产基地八一科技园B栋五楼01号</t>
  </si>
  <si>
    <t>仁寿县汪洋镇宜家园超市</t>
  </si>
  <si>
    <t>四川省眉山市仁寿县</t>
  </si>
  <si>
    <t>牛肉糜粒（香辣味）</t>
  </si>
  <si>
    <t>238克/包</t>
  </si>
  <si>
    <t>Edsp伊达和图形</t>
  </si>
  <si>
    <t>N-二甲基亚硝胺</t>
  </si>
  <si>
    <t>24.36μg/kg</t>
  </si>
  <si>
    <t>≤3.0µg/kg</t>
  </si>
  <si>
    <t>委托方：石河子开发区神内食品有限公司；受委托方：新疆阳光风趣食品科技发展有限公司</t>
  </si>
  <si>
    <t>委托方地址：新疆生产建设兵团第八师石河子市石河子开发区北三东路19号；受委托方地址：新疆生产建设兵团第八师石河子市石大教学实验农场综合站</t>
  </si>
  <si>
    <t>呼图壁县八十八购物中心</t>
  </si>
  <si>
    <t>新疆维吾尔自治区昌吉回族自治州呼图壁县五工台镇林场村Z901线西侧（新疆古丝路驿站商贸有限公司商业街）</t>
  </si>
  <si>
    <t>凝神聚内苏打水饮料</t>
  </si>
  <si>
    <t>340ml/瓶</t>
  </si>
  <si>
    <t>神内和图形</t>
  </si>
  <si>
    <t>0.331g/kg</t>
  </si>
  <si>
    <t>供应商地址：广西壮族自治区桂林市临桂县临桂镇西二环路北侧、桃花江南侧、官田村东侧桂林福达农产品冷链物流园C6区51号；生产商地址：/</t>
  </si>
  <si>
    <t>桂林市象山区好邻里生鲜超市</t>
  </si>
  <si>
    <t>广西壮族自治区桂林市象山区安新市场二楼门面</t>
  </si>
  <si>
    <t>干百合</t>
  </si>
  <si>
    <t>3.48g/kg</t>
  </si>
  <si>
    <t>≤0.2g/kg</t>
  </si>
  <si>
    <t>委托方：三粒饮品（珠海）有限公司；受委托方：河南丰之源生物科技有限公司</t>
  </si>
  <si>
    <t>委托方地址：广东省珠海市金湾区三灶镇金海岸大道西22号恒隆大厦第二层A68；受委托方地址：河南省济源市梨林食品工业园区</t>
  </si>
  <si>
    <t>河南高之邻商贸有限公司</t>
  </si>
  <si>
    <t>河南省郑州市新郑市龙湖镇双湖大道与文昌路交叉口西北角二楼</t>
  </si>
  <si>
    <t>山药椰汁</t>
  </si>
  <si>
    <t>246mL/瓶</t>
  </si>
  <si>
    <t>三粒臻品</t>
  </si>
  <si>
    <t>12个月（常温）</t>
  </si>
  <si>
    <t>蛋白质</t>
  </si>
  <si>
    <t>委托方：广州晨雅生物科技有限公司；受托方：赣州国芝堂食品有限公司</t>
  </si>
  <si>
    <t>委托方地址：广东省广州市白云区棠景街机场路585号807-808自编1029；受托方地址：江西省赣州市宁都县水东工业园莲花路</t>
  </si>
  <si>
    <t>长沙市天心区益捌食品商行</t>
  </si>
  <si>
    <t>湖南省长沙市天心区先锋街道临托子冲路106号-AB34</t>
  </si>
  <si>
    <t>多艾纤芊益生菌果蔬饮</t>
  </si>
  <si>
    <t>260g（20×13g）/盒</t>
  </si>
  <si>
    <t>多艾·纤芊</t>
  </si>
  <si>
    <t>胭脂红</t>
  </si>
  <si>
    <t>0.0468g/kg</t>
  </si>
  <si>
    <t>委托方：曲靖市麒麟区金福泰食品分装厂；生产商：昆明多悦多工贸有限公司（分装）</t>
  </si>
  <si>
    <t>委托方地址：云南省曲靖市麒麟区白石江街道长河社区第五居民小组；生产商地址：云南省昆明市盘龙区双龙街道办事处麦地塘东大村民小组</t>
  </si>
  <si>
    <t>宣威市落水镇百大购物广场</t>
  </si>
  <si>
    <t>云南省曲靖市宣威市落水镇供销社</t>
  </si>
  <si>
    <t>红糖</t>
  </si>
  <si>
    <t>780克/袋</t>
  </si>
  <si>
    <t>竹叶欣</t>
  </si>
  <si>
    <t>柠檬黄</t>
  </si>
  <si>
    <t>0.0781g/kg</t>
  </si>
  <si>
    <t>迁安市锐海粉条制品厂</t>
  </si>
  <si>
    <t>河北省唐山市迁安市建昌营镇太平村南</t>
  </si>
  <si>
    <t>迁安市铭勋商店</t>
  </si>
  <si>
    <t>河北省唐山市迁安市永顺街道办事处君和广场婚庆街B4-2-4</t>
  </si>
  <si>
    <t>粉条</t>
  </si>
  <si>
    <t>计量销售</t>
  </si>
  <si>
    <t>237mg/kg</t>
  </si>
  <si>
    <t>≤200mg/kg</t>
  </si>
  <si>
    <t>西吉县兴隆焦玉龙三粉加工销售部</t>
  </si>
  <si>
    <t>宁夏回族自治区固原市西吉县兴隆镇兴隆村二组</t>
  </si>
  <si>
    <t>银川市兴庆区马力调味品丽景街店</t>
  </si>
  <si>
    <t>宁夏回族自治区银川市兴庆区丽景街东侧立达国际建材五金家居博览城68号地块47号商业仓储楼106号</t>
  </si>
  <si>
    <t>326mg/kg</t>
  </si>
  <si>
    <t>山东省德州市禹城市梁家镇工业园</t>
  </si>
  <si>
    <t>兰陵县福吉商贸有限公司仲村分店</t>
  </si>
  <si>
    <t>山东省临沂市兰陵县大仲村镇人民政府对过</t>
  </si>
  <si>
    <t>孜然粉</t>
  </si>
  <si>
    <t>30克/瓶</t>
  </si>
  <si>
    <t>味名源扬和图形</t>
  </si>
  <si>
    <t>多菌灵</t>
  </si>
  <si>
    <t>0.83mg/kg</t>
  </si>
  <si>
    <t>≤0.3mg/kg</t>
  </si>
  <si>
    <t>贵州省贵阳市花溪区溪北办事处上水村</t>
  </si>
  <si>
    <t>贵阳云岩默冠食品经营部</t>
  </si>
  <si>
    <t>贵州省贵阳市云岩区三桥综合批发市场南区D座522号</t>
  </si>
  <si>
    <t>巧克力味通心酥饼干（酥性饼干）</t>
  </si>
  <si>
    <t>150克/袋</t>
  </si>
  <si>
    <t>黔冠和图形</t>
  </si>
  <si>
    <t>10个月</t>
  </si>
  <si>
    <t>日落黄</t>
  </si>
  <si>
    <t>0.0153g/kg</t>
  </si>
  <si>
    <t>供应商地址：海南省海口市龙华区椰海大道椰海粮油交易市场南区13栋11号；生产商地址：/</t>
  </si>
  <si>
    <t>澄迈老城福满多百货超市（个体工商户）</t>
  </si>
  <si>
    <t>海南省澄迈县老城镇青龙路四季康城二期D区21号楼04—11号铺面</t>
  </si>
  <si>
    <t>八角</t>
  </si>
  <si>
    <t>0.452g/kg</t>
  </si>
  <si>
    <t>≤0.15g/kg</t>
  </si>
  <si>
    <t>供应商地址：海南省海口市龙华区椰海大道373号椰海粮油交易市场南区5栋22号铺面</t>
  </si>
  <si>
    <t>临高博厚马福升手拉手生活超市</t>
  </si>
  <si>
    <t>海南省临高县博厚镇临海路100号</t>
  </si>
  <si>
    <t>红枣片（水果干制品）</t>
  </si>
  <si>
    <t>2.21g/kg</t>
  </si>
  <si>
    <t>≤0.1g/kg</t>
  </si>
  <si>
    <t>河南国淳食品有限公司</t>
  </si>
  <si>
    <t>河南省漯河市召陵区青年村乡砖桥村68号</t>
  </si>
  <si>
    <t>漯河市召陵区百草清食品商行</t>
  </si>
  <si>
    <t>酸辣粉</t>
  </si>
  <si>
    <t>112克（粉丝52克 配料60克）/桶</t>
  </si>
  <si>
    <t>金小匠</t>
  </si>
  <si>
    <t>320mg/kg</t>
  </si>
  <si>
    <t>海城市广盛食品有限公司</t>
  </si>
  <si>
    <t>辽宁省鞍山市海城市东四管理区韩姜村</t>
  </si>
  <si>
    <t>银川市兴庆区苹柠生活超市（个体工商户）</t>
  </si>
  <si>
    <t>宁夏回族自治区银川市兴庆区掌政镇安置区56号楼第101号商业房</t>
  </si>
  <si>
    <t>果丹皮（蜜饯）</t>
  </si>
  <si>
    <t>广盛和图形</t>
  </si>
  <si>
    <t>山梨酸及其钾盐（以山梨酸计）</t>
  </si>
  <si>
    <t>0.855g/kg</t>
  </si>
  <si>
    <t>≤0.5g/kg</t>
  </si>
  <si>
    <t>辽宁</t>
  </si>
  <si>
    <t>委托商：武汉金锦阁食品有限公司；生产商：宜昌茶马古道生态旅游开发有限公司（分装）</t>
  </si>
  <si>
    <t>委托商地址：湖北省武汉市硚口区古田二路汇丰企业天地4栋1单元17层25室；生产商地址：湖北省宜昌市宜都市王家畈镇古水坪村一组</t>
  </si>
  <si>
    <t>武汉武商超市管理有限公司梦时代生活馆</t>
  </si>
  <si>
    <t>湖北省武汉市武昌区中南路街道武珞路598号武汉武商梦时代广场一层C区129号</t>
  </si>
  <si>
    <t>金骏眉（红茶）</t>
  </si>
  <si>
    <t>二十四个月</t>
  </si>
  <si>
    <t>0.00978g/kg</t>
  </si>
  <si>
    <t>供应商地址：海南省海口市龙华区椰海大道粮油批发市场南区17栋13号；生产商地址：/</t>
  </si>
  <si>
    <t>屯昌南坤旺源超市</t>
  </si>
  <si>
    <t>海南省屯昌县南坤镇中坤大道10号</t>
  </si>
  <si>
    <t>小米椒（干辣椒）</t>
  </si>
  <si>
    <t>2.89g/kg</t>
  </si>
  <si>
    <t>进口商：优赢（山东）电子商务有限公司；原产国：韩国</t>
  </si>
  <si>
    <t>进口商地址：山东省济宁市经济开发区呈祥大道南嘉诚路西圣祥小镇B6号楼505</t>
  </si>
  <si>
    <t>幸福妈咪（北京）进出口有限公司</t>
  </si>
  <si>
    <t>北京市丰台区中核路3号院3号楼15层1518</t>
  </si>
  <si>
    <t>婴幼儿夹心谷物棒（蓝莓味）</t>
  </si>
  <si>
    <t>50g（5g×10根）/盒</t>
  </si>
  <si>
    <t>BIOmaus和图形</t>
  </si>
  <si>
    <t>脂肪</t>
  </si>
  <si>
    <t>1.12g/100kJ</t>
  </si>
  <si>
    <t>≤0.8g/100kJ且实际含量不应低于标示值的80%</t>
  </si>
  <si>
    <t>洛阳永利食品有限公司</t>
  </si>
  <si>
    <t>河南省洛阳市伊滨区诸葛镇玄奘路与孝文大道交叉口向南50米路西</t>
  </si>
  <si>
    <t>南京市高淳区乐多日杂超市</t>
  </si>
  <si>
    <t>江苏省南京市高淳区固城镇人民南路62-2号1幢</t>
  </si>
  <si>
    <t>土豆粉（湿粉条）</t>
  </si>
  <si>
    <t>350克/袋</t>
  </si>
  <si>
    <t>康源</t>
  </si>
  <si>
    <t>0℃-4℃冷藏贮存150天，常温贮存120天</t>
  </si>
  <si>
    <t>209mg/kg</t>
  </si>
  <si>
    <t>供应商地址：甘肃省白银市靖远县乌兰镇金三角天陇农贸市场21-5号</t>
  </si>
  <si>
    <t>靖远沃美万佳超市</t>
  </si>
  <si>
    <t>甘肃省白银市靖远县刘川镇张滩村389号</t>
  </si>
  <si>
    <t>柿饼（水果干制品）</t>
  </si>
  <si>
    <t>0.0474g/kg</t>
  </si>
  <si>
    <t>河北省邯郸市大名县香油城</t>
  </si>
  <si>
    <t>小磨芝麻香油</t>
  </si>
  <si>
    <t>400ml/瓶</t>
  </si>
  <si>
    <t>五鹿香及图形</t>
  </si>
  <si>
    <t>3.7mg/g</t>
  </si>
  <si>
    <t>≤2.5mg/g</t>
  </si>
  <si>
    <t>经销商：江苏欣安贝医药有限公司；生产企业：郑州林诺药业有限公司</t>
  </si>
  <si>
    <t>经销商地址：江苏省无锡市新吴区天山路8-1704；生产企业地址：河南省郑州市310国道与竹林大道交叉口</t>
  </si>
  <si>
    <t>南京欣维安医药科技有限公司</t>
  </si>
  <si>
    <t>江苏省南京市江宁区菲尼克斯路70号总部基地33号楼2002室（江宁开发区）</t>
  </si>
  <si>
    <t>γ-氨基丁酸耐力运动营养饮品</t>
  </si>
  <si>
    <t>300mL（30mL×10瓶）/盒</t>
  </si>
  <si>
    <t>健蓓高</t>
  </si>
  <si>
    <t>钠</t>
  </si>
  <si>
    <t>0.883mg/每日（每日食用量以1瓶（30ml）计）</t>
  </si>
  <si>
    <t>≤1600mg/每日且实际含量不应低于标示值的80%</t>
  </si>
  <si>
    <t>庆阳砍柴人农业科技有限公司</t>
  </si>
  <si>
    <t>甘肃省庆阳市西峰区彭原镇上何村老庄队4号</t>
  </si>
  <si>
    <t>秦安县大地湾精品生活超市中心</t>
  </si>
  <si>
    <t>甘肃省天水市秦安县兴国镇城南新区大地湾商业广场2号楼负一楼</t>
  </si>
  <si>
    <t>清水黄花菜（酱腌菜）</t>
  </si>
  <si>
    <t>500g/袋</t>
  </si>
  <si>
    <t>陇乡人和图形</t>
  </si>
  <si>
    <t>2.28g/kg</t>
  </si>
  <si>
    <t>经销商：上海盒马物联网有限公司；生产商：赣州巧耕人家农业发展有限公司</t>
  </si>
  <si>
    <t>经销商地址：上海市浦东新区航头镇航都路18号1幢402室；生产商地址：江西省赣州市寻乌县南桥镇南桥农产品加工园B地块厂房</t>
  </si>
  <si>
    <t>广州盒马鲜生网络科技有限公司天河区第三分公司</t>
  </si>
  <si>
    <t>广东省广州市天河区黄埔大道东823号首层103号，负一层B101号</t>
  </si>
  <si>
    <t>炒酸菜（蔬菜制品）</t>
  </si>
  <si>
    <t>250g/盒</t>
  </si>
  <si>
    <t>0.369g/kg</t>
  </si>
  <si>
    <t>辽宁省铁岭市昌图县十八家子镇十八家子村昌图天宝实业有限公司2幢</t>
  </si>
  <si>
    <t>美丽河便民副食批发部</t>
  </si>
  <si>
    <t>内蒙古自治区赤峰市元宝山区美丽河镇美丽河市场对面</t>
  </si>
  <si>
    <t>哈尔滨风味红肠</t>
  </si>
  <si>
    <t>称重销售</t>
  </si>
  <si>
    <t>哈香王和图形</t>
  </si>
  <si>
    <t>常温下150天</t>
  </si>
  <si>
    <t>0.0206g/kg</t>
  </si>
  <si>
    <t>≤0.015g/kg</t>
  </si>
  <si>
    <t>浏阳市枨冲嘉信食品厂（分装）</t>
  </si>
  <si>
    <t>湖南省长沙市浏阳市枨冲镇佳和村枧口组</t>
  </si>
  <si>
    <t>宜章县白石渡鑫旺超市</t>
  </si>
  <si>
    <t>湖南省郴州市宜章县白石渡解放路</t>
  </si>
  <si>
    <t>手撕姜（凉果类）</t>
  </si>
  <si>
    <t>对味铺子</t>
  </si>
  <si>
    <t>0.0378g/kg</t>
  </si>
  <si>
    <t>甘肃省庆阳市西峰区仁杰路北段</t>
  </si>
  <si>
    <t>秦安县心连心精品生活超市</t>
  </si>
  <si>
    <t>甘肃省天水市秦安县兴国镇康庄街御怡嘉苑1号商铺</t>
  </si>
  <si>
    <t>老面包</t>
  </si>
  <si>
    <t>300克/袋</t>
  </si>
  <si>
    <t>迪力堡宝</t>
  </si>
  <si>
    <t>六个月</t>
  </si>
  <si>
    <t>0.347g/kg</t>
  </si>
  <si>
    <t>安徽省阜阳市太和县城关镇团结东路北侧15号</t>
  </si>
  <si>
    <t>厦门福多堂大药房有限公司</t>
  </si>
  <si>
    <t>福建省厦门市集美区灌口镇安仁里24号101室</t>
  </si>
  <si>
    <t>白蛋白肽特殊膳食食品</t>
  </si>
  <si>
    <t>300ml（50ml/瓶×6瓶）/盒</t>
  </si>
  <si>
    <t>宝芝乐铺</t>
  </si>
  <si>
    <t>13.5mg/每日（每日食用量以1瓶（50ml）计）</t>
  </si>
  <si>
    <t>供应商地址：广西壮族自治区百色市田阳区田州镇田阳商场一层干杂商铺A11、A12号摊；生产商地址：/</t>
  </si>
  <si>
    <t>百色市田阳区芯悦杂货店</t>
  </si>
  <si>
    <t>广西壮族自治区百色市田阳区头塘镇头塘农贸市场干货行105号摊</t>
  </si>
  <si>
    <t>白芷</t>
  </si>
  <si>
    <t>1.20g/kg</t>
  </si>
  <si>
    <t>委托商：英珞维品牌管理（宁波）有限公司；受托商：威海百合生物技术股份有限公司</t>
  </si>
  <si>
    <t>委托商地址：浙江省宁波市海曙区气象路827号9号楼140、141、142、143室；受托商地址：山东省威海市荣成市天鹅湖经济技术开发区成大路552号</t>
  </si>
  <si>
    <t>武汉市硚口区讯脉母婴用品商行</t>
  </si>
  <si>
    <t>湖北省武汉市硚口区中山大道285美奇国际广场F1层</t>
  </si>
  <si>
    <t>钙镁锌营养饮（4阶）（运动营养食品-补充能量类）</t>
  </si>
  <si>
    <t>200mL（10mL×20）/罐</t>
  </si>
  <si>
    <t>英珞维·生长森林</t>
  </si>
  <si>
    <t>120—375μg/每日且实际含量不应低于标示值的80%</t>
  </si>
  <si>
    <t>浙江</t>
  </si>
  <si>
    <t>湖北汪水堂健康食品有限公司</t>
  </si>
  <si>
    <t>湖北省荆州市洪湖市新堤办事处人民路</t>
  </si>
  <si>
    <t>中百仓储超市有限公司团风店</t>
  </si>
  <si>
    <t>湖北省黄冈市团风县团风镇团方大道南侧（君临天下内A栋第2层），A幢</t>
  </si>
  <si>
    <t>500克/袋</t>
  </si>
  <si>
    <t>汪水堂干货世家和图形</t>
  </si>
  <si>
    <t>0.0969g/kg</t>
  </si>
  <si>
    <t>≤0.03g/kg</t>
  </si>
  <si>
    <t>安徽省阜阳市太和县城关镇工业园创业路666号</t>
  </si>
  <si>
    <t>无锡智慧益童健康科技有限公司</t>
  </si>
  <si>
    <t>江苏省无锡市滨湖区绣溪路58-1号楼5A01A</t>
  </si>
  <si>
    <t>钙铁锌液体饮</t>
  </si>
  <si>
    <t>120mL（10mL/支×12支）/盒</t>
  </si>
  <si>
    <t>小葵花益童和图形</t>
  </si>
  <si>
    <t>钙</t>
  </si>
  <si>
    <t>未检出（定量限：5mg/L）</t>
  </si>
  <si>
    <t>150—800mg/每日且实际含量不应低于标示值的80%</t>
  </si>
  <si>
    <t>西安市高陵区家福乐购物广场有限公司</t>
  </si>
  <si>
    <t>陕西省西安市高陵区姬家街办杨官寨村太和医院西侧</t>
  </si>
  <si>
    <t>大面筋（其他谷物粉类制成品）</t>
  </si>
  <si>
    <t>计量称重</t>
  </si>
  <si>
    <t>0.175g/kg</t>
  </si>
  <si>
    <t>百分比</t>
  </si>
  <si>
    <t>列1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</si>
</sst>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1">
    <font>
      <sz val="11"/>
      <color theme="1"/>
      <name val="等线"/>
      <charset val="134"/>
      <scheme val="minor"/>
    </font>
    <font>
      <b/>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9"/>
        <bgColor theme="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9" tint="0.39997558519241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4"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5" applyNumberFormat="0" applyFill="0" applyAlignment="0" applyProtection="0">
      <alignment vertical="center"/>
    </xf>
    <xf numFmtId="0" fontId="8" fillId="0" borderId="5" applyNumberFormat="0" applyFill="0" applyAlignment="0" applyProtection="0">
      <alignment vertical="center"/>
    </xf>
    <xf numFmtId="0" fontId="9"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4" borderId="7" applyNumberFormat="0" applyAlignment="0" applyProtection="0">
      <alignment vertical="center"/>
    </xf>
    <xf numFmtId="0" fontId="11" fillId="5" borderId="8" applyNumberFormat="0" applyAlignment="0" applyProtection="0">
      <alignment vertical="center"/>
    </xf>
    <xf numFmtId="0" fontId="12" fillId="5" borderId="7" applyNumberFormat="0" applyAlignment="0" applyProtection="0">
      <alignment vertical="center"/>
    </xf>
    <xf numFmtId="0" fontId="13" fillId="6" borderId="9" applyNumberFormat="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176" fontId="0" fillId="0" borderId="0" xfId="0" applyNumberFormat="1">
      <alignment vertical="center"/>
    </xf>
    <xf numFmtId="0" fontId="0" fillId="0" borderId="0" xfId="0" applyNumberFormat="1">
      <alignment vertical="center"/>
    </xf>
    <xf numFmtId="0" fontId="0" fillId="0" borderId="0" xfId="0" applyNumberFormat="1"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6">
    <dxf>
      <alignment horizontal="center"/>
    </dxf>
    <dxf>
      <numFmt numFmtId="10" formatCode="0.00%"/>
    </dxf>
    <dxf>
      <numFmt numFmtId="10" formatCode="0.00%"/>
    </dxf>
    <dxf>
      <numFmt numFmtId="0" formatCode="General"/>
    </dxf>
    <dxf>
      <numFmt numFmtId="0" formatCode="General"/>
    </dxf>
    <dxf>
      <numFmt numFmtId="10" formatCode="0.00%"/>
    </dxf>
    <dxf>
      <numFmt numFmtId="10" formatCode="0.00%"/>
    </dxf>
    <dxf>
      <numFmt numFmtId="0" formatCode="General"/>
    </dxf>
    <dxf>
      <numFmt numFmtId="0" formatCode="General"/>
    </dxf>
    <dxf>
      <alignment horizontal="center"/>
    </dxf>
    <dxf>
      <alignment horizontal="center"/>
    </dxf>
    <dxf/>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yyyy/m/d;@"/>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ill>
        <patternFill patternType="solid">
          <bgColor theme="2" tint="-0.24994659260841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pivotCacheDefinition" Target="pivotCache/pivotCacheDefinition1.xml"/><Relationship Id="rId11" Type="http://schemas.openxmlformats.org/officeDocument/2006/relationships/customXml" Target="../customXml/item1.xml"/><Relationship Id="rId10" Type="http://schemas.openxmlformats.org/officeDocument/2006/relationships/connections" Target="connection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[食品安全数据分析.xlsx]不合格项目热点分析!数据透视表5</c:name>
    <c:fmtId val="0"/>
  </c:pivotSource>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dk1">
                  <a:lumMod val="75000"/>
                  <a:lumOff val="25000"/>
                </a:schemeClr>
              </a:solidFill>
              <a:latin typeface="+mn-lt"/>
              <a:ea typeface="+mn-ea"/>
              <a:cs typeface="+mn-cs"/>
            </a:defRPr>
          </a:pPr>
        </a:p>
      </c:txPr>
    </c:title>
    <c:autoTitleDeleted val="0"/>
    <c:plotArea>
      <c:layout/>
      <c:pieChart>
        <c:varyColors val="1"/>
        <c:ser>
          <c:idx val="0"/>
          <c:order val="0"/>
          <c:tx>
            <c:strRef>
              <c:f>不合格项目热点分析!$C$7</c:f>
              <c:strCache>
                <c:ptCount val="1"/>
                <c:pt idx="0">
                  <c:v>汇总</c:v>
                </c:pt>
              </c:strCache>
            </c:strRef>
          </c:tx>
          <c:spPr/>
          <c:explosion val="0"/>
          <c:dPt>
            <c:idx val="0"/>
            <c:bubble3D val="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dPt>
          <c:dPt>
            <c:idx val="1"/>
            <c:bubble3D val="0"/>
            <c:spPr>
              <a:gradFill>
                <a:gsLst>
                  <a:gs pos="100000">
                    <a:schemeClr val="accent2"/>
                  </a:gs>
                  <a:gs pos="0">
                    <a:schemeClr val="accent2">
                      <a:hueOff val="-1670000"/>
                    </a:schemeClr>
                  </a:gs>
                </a:gsLst>
                <a:lin ang="5400000" scaled="0"/>
              </a:gradFill>
              <a:ln>
                <a:gradFill>
                  <a:gsLst>
                    <a:gs pos="100000">
                      <a:schemeClr val="accent2">
                        <a:lumMod val="75000"/>
                      </a:schemeClr>
                    </a:gs>
                    <a:gs pos="0">
                      <a:schemeClr val="accent2">
                        <a:lumMod val="75000"/>
                        <a:hueOff val="-1670000"/>
                      </a:schemeClr>
                    </a:gs>
                  </a:gsLst>
                  <a:lin ang="4620000" scaled="0"/>
                </a:gradFill>
              </a:ln>
              <a:effectLst/>
            </c:spPr>
          </c:dPt>
          <c:dPt>
            <c:idx val="2"/>
            <c:bubble3D val="0"/>
            <c:spPr>
              <a:gradFill>
                <a:gsLst>
                  <a:gs pos="100000">
                    <a:schemeClr val="accent3"/>
                  </a:gs>
                  <a:gs pos="0">
                    <a:schemeClr val="accent3">
                      <a:hueOff val="-1670000"/>
                    </a:schemeClr>
                  </a:gs>
                </a:gsLst>
                <a:lin ang="5400000" scaled="0"/>
              </a:gradFill>
              <a:ln>
                <a:gradFill>
                  <a:gsLst>
                    <a:gs pos="100000">
                      <a:schemeClr val="accent3">
                        <a:lumMod val="75000"/>
                      </a:schemeClr>
                    </a:gs>
                    <a:gs pos="0">
                      <a:schemeClr val="accent3">
                        <a:lumMod val="75000"/>
                        <a:hueOff val="-1670000"/>
                      </a:schemeClr>
                    </a:gs>
                  </a:gsLst>
                  <a:lin ang="4620000" scaled="0"/>
                </a:gradFill>
              </a:ln>
              <a:effectLst/>
            </c:spPr>
          </c:dPt>
          <c:dPt>
            <c:idx val="3"/>
            <c:bubble3D val="0"/>
            <c:spPr>
              <a:gradFill>
                <a:gsLst>
                  <a:gs pos="100000">
                    <a:schemeClr val="accent4"/>
                  </a:gs>
                  <a:gs pos="0">
                    <a:schemeClr val="accent4">
                      <a:hueOff val="-1670000"/>
                    </a:schemeClr>
                  </a:gs>
                </a:gsLst>
                <a:lin ang="5400000" scaled="0"/>
              </a:gradFill>
              <a:ln>
                <a:gradFill>
                  <a:gsLst>
                    <a:gs pos="100000">
                      <a:schemeClr val="accent4">
                        <a:lumMod val="75000"/>
                      </a:schemeClr>
                    </a:gs>
                    <a:gs pos="0">
                      <a:schemeClr val="accent4">
                        <a:lumMod val="75000"/>
                        <a:hueOff val="-1670000"/>
                      </a:schemeClr>
                    </a:gs>
                  </a:gsLst>
                  <a:lin ang="4620000" scaled="0"/>
                </a:gradFill>
              </a:ln>
              <a:effectLst/>
            </c:spPr>
          </c:dPt>
          <c:dPt>
            <c:idx val="4"/>
            <c:bubble3D val="0"/>
            <c:spPr>
              <a:gradFill>
                <a:gsLst>
                  <a:gs pos="100000">
                    <a:schemeClr val="accent5"/>
                  </a:gs>
                  <a:gs pos="0">
                    <a:schemeClr val="accent5">
                      <a:hueOff val="-1670000"/>
                    </a:schemeClr>
                  </a:gs>
                </a:gsLst>
                <a:lin ang="5400000" scaled="0"/>
              </a:gradFill>
              <a:ln>
                <a:gradFill>
                  <a:gsLst>
                    <a:gs pos="100000">
                      <a:schemeClr val="accent5">
                        <a:lumMod val="75000"/>
                      </a:schemeClr>
                    </a:gs>
                    <a:gs pos="0">
                      <a:schemeClr val="accent5">
                        <a:lumMod val="75000"/>
                        <a:hueOff val="-1670000"/>
                      </a:schemeClr>
                    </a:gs>
                  </a:gsLst>
                  <a:lin ang="4620000" scaled="0"/>
                </a:gradFill>
              </a:ln>
              <a:effectLst/>
            </c:spPr>
          </c:dPt>
          <c:dLbls>
            <c:dLbl>
              <c:idx val="0"/>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dk1">
                            <a:lumMod val="75000"/>
                            <a:lumOff val="25000"/>
                          </a:schemeClr>
                        </a:solidFill>
                        <a:latin typeface="+mn-lt"/>
                        <a:ea typeface="+mn-ea"/>
                        <a:cs typeface="+mn-cs"/>
                      </a:defRPr>
                    </a:pPr>
                    <a:r>
                      <a:t>35%</a:t>
                    </a:r>
                  </a:p>
                </c:rich>
              </c:tx>
              <c:dLblPos val="inEnd"/>
              <c:showLegendKey val="0"/>
              <c:showVal val="0"/>
              <c:showCatName val="1"/>
              <c:showSerName val="0"/>
              <c:showPercent val="1"/>
              <c:showBubbleSize val="0"/>
              <c:separator>
</c:separator>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dk1">
                            <a:lumMod val="75000"/>
                            <a:lumOff val="25000"/>
                          </a:schemeClr>
                        </a:solidFill>
                        <a:latin typeface="+mn-lt"/>
                        <a:ea typeface="+mn-ea"/>
                        <a:cs typeface="+mn-cs"/>
                      </a:defRPr>
                    </a:pPr>
                    <a:r>
                      <a:t>20%</a:t>
                    </a:r>
                  </a:p>
                </c:rich>
              </c:tx>
              <c:dLblPos val="inEnd"/>
              <c:showLegendKey val="0"/>
              <c:showVal val="0"/>
              <c:showCatName val="1"/>
              <c:showSerName val="0"/>
              <c:showPercent val="1"/>
              <c:showBubbleSize val="0"/>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dk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不合格项目热点分析!$B$8:$B$13</c:f>
              <c:strCache>
                <c:ptCount val="5"/>
                <c:pt idx="0">
                  <c:v>二氧化硫残留量</c:v>
                </c:pt>
                <c:pt idx="1">
                  <c:v>霉菌</c:v>
                </c:pt>
                <c:pt idx="2">
                  <c:v>铝的残留量（干样品，以Al计）</c:v>
                </c:pt>
                <c:pt idx="3">
                  <c:v>脱氢乙酸及其钠盐（以脱氢乙酸计）</c:v>
                </c:pt>
                <c:pt idx="4">
                  <c:v>诱惑红</c:v>
                </c:pt>
              </c:strCache>
            </c:strRef>
          </c:cat>
          <c:val>
            <c:numRef>
              <c:f>不合格项目热点分析!$C$8:$C$13</c:f>
              <c:numCache>
                <c:formatCode>General</c:formatCode>
                <c:ptCount val="5"/>
                <c:pt idx="0">
                  <c:v>7</c:v>
                </c:pt>
                <c:pt idx="1">
                  <c:v>4</c:v>
                </c:pt>
                <c:pt idx="2">
                  <c:v>4</c:v>
                </c:pt>
                <c:pt idx="3">
                  <c:v>3</c:v>
                </c:pt>
                <c:pt idx="4">
                  <c:v>2</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785e7f1-745d-466c-bc7a-04423c872273}"/>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[食品安全数据分析.xlsx]不同程度占比!数据透视表6</c:name>
    <c:fmtId val="0"/>
  </c:pivotSource>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不同程度占比!$B$3</c:f>
              <c:strCache>
                <c:ptCount val="1"/>
                <c:pt idx="0">
                  <c:v>汇总</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0"/>
              <c:showCatName val="1"/>
              <c:showSerName val="0"/>
              <c:showPercent val="1"/>
              <c:showBubbleSize val="0"/>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不同程度占比!$A$4:$A$8</c:f>
              <c:strCache>
                <c:ptCount val="4"/>
                <c:pt idx="0">
                  <c:v>含量不足</c:v>
                </c:pt>
                <c:pt idx="1">
                  <c:v>轻度超标</c:v>
                </c:pt>
                <c:pt idx="2">
                  <c:v>严重超标</c:v>
                </c:pt>
                <c:pt idx="3">
                  <c:v>中度超标</c:v>
                </c:pt>
              </c:strCache>
            </c:strRef>
          </c:cat>
          <c:val>
            <c:numRef>
              <c:f>不同程度占比!$B$4:$B$8</c:f>
              <c:numCache>
                <c:formatCode>General</c:formatCode>
                <c:ptCount val="4"/>
                <c:pt idx="0">
                  <c:v>8</c:v>
                </c:pt>
                <c:pt idx="1">
                  <c:v>10</c:v>
                </c:pt>
                <c:pt idx="2">
                  <c:v>25</c:v>
                </c:pt>
                <c:pt idx="3">
                  <c:v>7</c:v>
                </c:pt>
              </c:numCache>
            </c:numRef>
          </c:val>
        </c:ser>
        <c:dLbls>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a31a90b8-d7ae-4cf6-9b15-f6912145d4f6}"/>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[食品安全数据分析.xlsx]按月分布情况!数据透视表7</c:name>
    <c:fmtId val="0"/>
  </c:pivotSource>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altLang="en-US"/>
              <a:t>不合格数随月变化</a:t>
            </a:r>
            <a:endParaRPr lang="en-US" altLang="zh-CN"/>
          </a:p>
        </c:rich>
      </c:tx>
      <c:layout/>
      <c:overlay val="0"/>
      <c:spPr>
        <a:noFill/>
        <a:ln>
          <a:noFill/>
        </a:ln>
        <a:effectLst/>
      </c:spPr>
    </c:title>
    <c:autoTitleDeleted val="0"/>
    <c:plotArea>
      <c:layout/>
      <c:lineChart>
        <c:grouping val="standard"/>
        <c:varyColors val="0"/>
        <c:ser>
          <c:idx val="0"/>
          <c:order val="0"/>
          <c:tx>
            <c:strRef>
              <c:f>按月分布情况!$B$3</c:f>
              <c:strCache>
                <c:ptCount val="1"/>
                <c:pt idx="0">
                  <c:v>汇总</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按月分布情况!$A$4:$A$16</c:f>
              <c:strCache>
                <c:ptCount val="12"/>
                <c:pt idx="0">
                  <c:v>10月</c:v>
                </c:pt>
                <c:pt idx="1">
                  <c:v>11月</c:v>
                </c:pt>
                <c:pt idx="2">
                  <c:v>12月</c:v>
                </c:pt>
                <c:pt idx="3">
                  <c:v>1月</c:v>
                </c:pt>
                <c:pt idx="4">
                  <c:v>2月</c:v>
                </c:pt>
                <c:pt idx="5">
                  <c:v>3月</c:v>
                </c:pt>
                <c:pt idx="6">
                  <c:v>4月</c:v>
                </c:pt>
                <c:pt idx="7">
                  <c:v>5月</c:v>
                </c:pt>
                <c:pt idx="8">
                  <c:v>6月</c:v>
                </c:pt>
                <c:pt idx="9">
                  <c:v>7月</c:v>
                </c:pt>
                <c:pt idx="10">
                  <c:v>8月</c:v>
                </c:pt>
                <c:pt idx="11">
                  <c:v>9月</c:v>
                </c:pt>
              </c:strCache>
            </c:strRef>
          </c:cat>
          <c:val>
            <c:numRef>
              <c:f>按月分布情况!$B$4:$B$16</c:f>
              <c:numCache>
                <c:formatCode>General</c:formatCode>
                <c:ptCount val="12"/>
                <c:pt idx="0">
                  <c:v>1</c:v>
                </c:pt>
                <c:pt idx="1">
                  <c:v>2</c:v>
                </c:pt>
                <c:pt idx="2">
                  <c:v>6</c:v>
                </c:pt>
                <c:pt idx="3">
                  <c:v>7</c:v>
                </c:pt>
                <c:pt idx="4">
                  <c:v>10</c:v>
                </c:pt>
                <c:pt idx="5">
                  <c:v>7</c:v>
                </c:pt>
                <c:pt idx="6">
                  <c:v>1</c:v>
                </c:pt>
                <c:pt idx="7">
                  <c:v>3</c:v>
                </c:pt>
                <c:pt idx="8">
                  <c:v>2</c:v>
                </c:pt>
                <c:pt idx="9">
                  <c:v>5</c:v>
                </c:pt>
                <c:pt idx="10">
                  <c:v>3</c:v>
                </c:pt>
                <c:pt idx="11">
                  <c:v>3</c:v>
                </c:pt>
              </c:numCache>
            </c:numRef>
          </c:val>
          <c:smooth val="0"/>
        </c:ser>
        <c:dLbls>
          <c:showLegendKey val="0"/>
          <c:showVal val="1"/>
          <c:showCatName val="0"/>
          <c:showSerName val="0"/>
          <c:showPercent val="0"/>
          <c:showBubbleSize val="0"/>
        </c:dLbls>
        <c:marker val="0"/>
        <c:smooth val="0"/>
        <c:axId val="377930919"/>
        <c:axId val="791207324"/>
      </c:lineChart>
      <c:catAx>
        <c:axId val="377930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791207324"/>
        <c:crosses val="autoZero"/>
        <c:auto val="1"/>
        <c:lblAlgn val="ctr"/>
        <c:lblOffset val="100"/>
        <c:noMultiLvlLbl val="0"/>
      </c:catAx>
      <c:valAx>
        <c:axId val="79120732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37793091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8bb5920c-3606-4d93-aa3a-df88811c4d99}"/>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147320</xdr:colOff>
      <xdr:row>5</xdr:row>
      <xdr:rowOff>152400</xdr:rowOff>
    </xdr:from>
    <xdr:to>
      <xdr:col>12</xdr:col>
      <xdr:colOff>347980</xdr:colOff>
      <xdr:row>35</xdr:row>
      <xdr:rowOff>19050</xdr:rowOff>
    </xdr:to>
    <xdr:graphicFrame>
      <xdr:nvGraphicFramePr>
        <xdr:cNvPr id="16" name="图表 15"/>
        <xdr:cNvGraphicFramePr/>
      </xdr:nvGraphicFramePr>
      <xdr:xfrm>
        <a:off x="6487160" y="1028700"/>
        <a:ext cx="6258560" cy="51244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109220</xdr:colOff>
      <xdr:row>2</xdr:row>
      <xdr:rowOff>10160</xdr:rowOff>
    </xdr:from>
    <xdr:to>
      <xdr:col>10</xdr:col>
      <xdr:colOff>95885</xdr:colOff>
      <xdr:row>17</xdr:row>
      <xdr:rowOff>132080</xdr:rowOff>
    </xdr:to>
    <xdr:graphicFrame>
      <xdr:nvGraphicFramePr>
        <xdr:cNvPr id="2" name="图表 1"/>
        <xdr:cNvGraphicFramePr/>
      </xdr:nvGraphicFramePr>
      <xdr:xfrm>
        <a:off x="2219960" y="360680"/>
        <a:ext cx="4863465" cy="27508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124460</xdr:colOff>
      <xdr:row>2</xdr:row>
      <xdr:rowOff>17780</xdr:rowOff>
    </xdr:from>
    <xdr:to>
      <xdr:col>8</xdr:col>
      <xdr:colOff>203200</xdr:colOff>
      <xdr:row>17</xdr:row>
      <xdr:rowOff>132080</xdr:rowOff>
    </xdr:to>
    <xdr:graphicFrame>
      <xdr:nvGraphicFramePr>
        <xdr:cNvPr id="2" name="图表 1" descr="7b0a202020202263686172745265734964223a20223230343731343133220a7d0a"/>
        <xdr:cNvGraphicFramePr/>
      </xdr:nvGraphicFramePr>
      <xdr:xfrm>
        <a:off x="1960880" y="3683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57.0041203704" refreshedBy="刘海成" recordCount="50">
  <cacheSource type="worksheet">
    <worksheetSource name="深度清洗"/>
  </cacheSource>
  <cacheFields count="19">
    <cacheField name="标称生产企业名称" numFmtId="0">
      <sharedItems count="48">
        <s v="浮梁县老廖酒坊"/>
        <s v="委托方：上海今古合生命科学研究所有限公司；受委托方：广东金海康医学营养品股份有限公司"/>
        <s v="中国总代理商：深圳市茂凯进出口有限公司；生产商：/；原产国：马来西亚"/>
        <s v="安徽国善中园健康产业发展有限公司"/>
        <s v="经销商：深圳市欧美汇贸易有限公司；生产商：/；原产国：美国"/>
        <s v="安徽千志健康产业有限公司"/>
        <s v="进口商/经销商：深圳西选商贸有限公司；生产商：Frito-LAY,INC；原产国：美国"/>
        <s v="中国代理商：深圳市洋一食品有限公司；生产商：大华食品工业私人有限公司；原产国：新加坡"/>
        <s v="安徽裕禾堂健康产业发展有限公司"/>
        <s v="甘肃条山农工商（集团）有限责任公司食品分公司"/>
        <s v="委托商：扬州乐意楼信息技术有限公司；被委托商：扬州绿佳食品有限公司"/>
        <s v="庐江县山养堂农产品有限公司"/>
        <s v="山东巧能食品有限公司"/>
        <s v="夏津县全勇食品有限公司"/>
        <s v="海南万宁瑞鑫食品有限公司"/>
        <s v="进口商：绥芬河市明达国际贸易有限公司；生产商：俄罗斯新西伯利亚阿尔玛斯有限公司；原产国：俄罗斯"/>
        <s v="代理商（委托方）：广东伊达食品有限公司；生产商（被委托方）：广州市富农食品有限公司"/>
        <s v="委托方：石河子开发区神内食品有限公司；受委托方：新疆阳光风趣食品科技发展有限公司"/>
        <s v="供应商：桂林市临桂区鸿扬土特产商行；生产商：/"/>
        <s v="委托方：三粒饮品（珠海）有限公司；受委托方：河南丰之源生物科技有限公司"/>
        <s v="委托方：广州晨雅生物科技有限公司；受托方：赣州国芝堂食品有限公司"/>
        <s v="委托方：曲靖市麒麟区金福泰食品分装厂；生产商：昆明多悦多工贸有限公司（分装）"/>
        <s v="迁安市锐海粉条制品厂"/>
        <s v="西吉县兴隆焦玉龙三粉加工销售部"/>
        <s v="德州市众旺食品有限公司"/>
        <s v="贵阳花溪健强食品饮料有限公司"/>
        <s v="供应商：海口龙华鑫佳品副食批发商行；生产商：/"/>
        <s v="供应商：海口龙华艺兴盛商行"/>
        <s v="河南国淳食品有限公司"/>
        <s v="海城市广盛食品有限公司"/>
        <s v="委托商：武汉金锦阁食品有限公司；生产商：宜昌茶马古道生态旅游开发有限公司（分装）"/>
        <s v="供应商：海南金田稻贸易有限公司；生产商：/"/>
        <s v="进口商：优赢（山东）电子商务有限公司；原产国：韩国"/>
        <s v="洛阳永利食品有限公司"/>
        <s v="供应商：靖远宝福堂水果经营部"/>
        <s v="大名县京府黑芝麻小磨香油有限公司"/>
        <s v="经销商：江苏欣安贝医药有限公司；生产企业：郑州林诺药业有限公司"/>
        <s v="庆阳砍柴人农业科技有限公司"/>
        <s v="经销商：上海盒马物联网有限公司；生产商：赣州巧耕人家农业发展有限公司"/>
        <s v="昌图晖晟食品有限公司"/>
        <s v="浏阳市枨冲嘉信食品厂（分装）"/>
        <s v="甘肃吉麦滋食品有限公司"/>
        <s v="安徽宝芝林药业有限公司"/>
        <s v="供应商：百色市田阳区陈氏调味品店；生产商：/"/>
        <s v="委托商：英珞维品牌管理（宁波）有限公司；受托商：威海百合生物技术股份有限公司"/>
        <s v="湖北汪水堂健康食品有限公司"/>
        <s v="安徽合天然制药有限公司"/>
        <s v="/"/>
      </sharedItems>
    </cacheField>
    <cacheField name="标称生产企业地址" numFmtId="0">
      <sharedItems count="48">
        <s v="江西省景德镇市浮梁县鹅湖镇天宝路7号"/>
        <s v="委托方地址：上海市奉贤区茂园路659号B622室；受委托方地址：广东省梅州市高新技术产业园区"/>
        <s v="中国总代理商地址：广东省深圳市罗湖区桂园街道深南东路5002号信兴广场主楼40-3；生产商地址：/"/>
        <s v="安徽省亳州市涡阳县经济开发区新园街道花都大道667号"/>
        <s v="经销商地址：广东省深圳市南山区蛇口街道雷岭社区招商路50号招东小区3栋501；生产商地址：/"/>
        <s v="安徽省亳州市高新区食品产业园曹腾路6号"/>
        <s v="进口商/经销商地址：广东省深圳市南山区招商街道赤湾社区赤湾一路10号山灵数码A栋01-C118室；生产商地址：Plano,TX 75024-4099,USA"/>
        <s v="中国代理商地址：广东省深圳市龙岗区南湾街道下李朗社区平朗路9号万国食品城C座10层C、D单元；生产商地址：12 Jalan Besut,Singapore 619566"/>
        <s v="安徽省亳州市高新区曹洪路369号A栋"/>
        <s v="甘肃省白银市景泰县一条山镇玉液路198号"/>
        <s v="委托商地址：/；被委托商地址：江苏省扬州市宝应县水泗芙蓉路1号"/>
        <s v="安徽省合肥市庐江县罗河镇高桥村余庄村民组"/>
        <s v="山东省菏泽市巨野县龙堌镇观集村北"/>
        <s v="山东省德州市夏津县经济开发区砚池街西首西外环东20米（德昊制衣有限公司院内）"/>
        <s v="海南省万宁市礼纪镇三星村委会"/>
        <s v="进口商地址：黑龙江省牡丹江市绥芬河市综合保税区展馆二楼213-1；生产商地址：/"/>
        <s v="代理商（委托方）地址：广东省揭阳市揭西县棉湖镇贡山村；生产商（被委托方）地址：广东省广州市白云区白云大道北友谊路加禾生产基地八一科技园B栋五楼01号"/>
        <s v="委托方地址：新疆生产建设兵团第八师石河子市石河子开发区北三东路19号；受委托方地址：新疆生产建设兵团第八师石河子市石大教学实验农场综合站"/>
        <s v="供应商地址：广西壮族自治区桂林市临桂县临桂镇西二环路北侧、桃花江南侧、官田村东侧桂林福达农产品冷链物流园C6区51号；生产商地址：/"/>
        <s v="委托方地址：广东省珠海市金湾区三灶镇金海岸大道西22号恒隆大厦第二层A68；受委托方地址：河南省济源市梨林食品工业园区"/>
        <s v="委托方地址：广东省广州市白云区棠景街机场路585号807-808自编1029；受托方地址：江西省赣州市宁都县水东工业园莲花路"/>
        <s v="委托方地址：云南省曲靖市麒麟区白石江街道长河社区第五居民小组；生产商地址：云南省昆明市盘龙区双龙街道办事处麦地塘东大村民小组"/>
        <s v="河北省唐山市迁安市建昌营镇太平村南"/>
        <s v="宁夏回族自治区固原市西吉县兴隆镇兴隆村二组"/>
        <s v="山东省德州市禹城市梁家镇工业园"/>
        <s v="贵州省贵阳市花溪区溪北办事处上水村"/>
        <s v="供应商地址：海南省海口市龙华区椰海大道椰海粮油交易市场南区13栋11号；生产商地址：/"/>
        <s v="供应商地址：海南省海口市龙华区椰海大道373号椰海粮油交易市场南区5栋22号铺面"/>
        <s v="河南省漯河市召陵区青年村乡砖桥村68号"/>
        <s v="辽宁省鞍山市海城市东四管理区韩姜村"/>
        <s v="委托商地址：湖北省武汉市硚口区古田二路汇丰企业天地4栋1单元17层25室；生产商地址：湖北省宜昌市宜都市王家畈镇古水坪村一组"/>
        <s v="供应商地址：海南省海口市龙华区椰海大道粮油批发市场南区17栋13号；生产商地址：/"/>
        <s v="进口商地址：山东省济宁市经济开发区呈祥大道南嘉诚路西圣祥小镇B6号楼505"/>
        <s v="河南省洛阳市伊滨区诸葛镇玄奘路与孝文大道交叉口向南50米路西"/>
        <s v="供应商地址：甘肃省白银市靖远县乌兰镇金三角天陇农贸市场21-5号"/>
        <s v="河北省邯郸市大名县香油城"/>
        <s v="经销商地址：江苏省无锡市新吴区天山路8-1704；生产企业地址：河南省郑州市310国道与竹林大道交叉口"/>
        <s v="甘肃省庆阳市西峰区彭原镇上何村老庄队4号"/>
        <s v="经销商地址：上海市浦东新区航头镇航都路18号1幢402室；生产商地址：江西省赣州市寻乌县南桥镇南桥农产品加工园B地块厂房"/>
        <s v="辽宁省铁岭市昌图县十八家子镇十八家子村昌图天宝实业有限公司2幢"/>
        <s v="湖南省长沙市浏阳市枨冲镇佳和村枧口组"/>
        <s v="甘肃省庆阳市西峰区仁杰路北段"/>
        <s v="安徽省阜阳市太和县城关镇团结东路北侧15号"/>
        <s v="供应商地址：广西壮族自治区百色市田阳区田州镇田阳商场一层干杂商铺A11、A12号摊；生产商地址：/"/>
        <s v="委托商地址：浙江省宁波市海曙区气象路827号9号楼140、141、142、143室；受托商地址：山东省威海市荣成市天鹅湖经济技术开发区成大路552号"/>
        <s v="湖北省荆州市洪湖市新堤办事处人民路"/>
        <s v="安徽省阜阳市太和县城关镇工业园创业路666号"/>
        <s v="/"/>
      </sharedItems>
    </cacheField>
    <cacheField name="被抽样单位名称" numFmtId="0">
      <sharedItems count="47">
        <s v="浮梁县老廖酒坊"/>
        <s v="哈尔滨市医博田医疗器械有限公司"/>
        <s v="广州市每一角落连锁经营管理有限公司"/>
        <s v="牟定九雯百货商行"/>
        <s v="爱赋国际贸易（上海）有限公司泰晤士黄杨杂货商场"/>
        <s v="南昌欧霆文化传媒有限公司"/>
        <s v="深圳市洋一食品有限公司"/>
        <s v="亳州市知鑫生物科技有限公司"/>
        <s v="城关区新武都路陇恩综合商行"/>
        <s v="扬州乐意楼信息技术有限公司"/>
        <s v="庐江县山养堂农产品有限公司"/>
        <s v="临沂市京优客购物广场有限公司"/>
        <s v="汝州市彩墨百货商行（个体工商户）"/>
        <s v="定安龙门广众连锁超市"/>
        <s v="绥芬河市卡伦堡食品百货商行"/>
        <s v="仁寿县汪洋镇宜家园超市"/>
        <s v="呼图壁县八十八购物中心"/>
        <s v="桂林市象山区好邻里生鲜超市"/>
        <s v="河南高之邻商贸有限公司"/>
        <s v="长沙市天心区益捌食品商行"/>
        <s v="宣威市落水镇百大购物广场"/>
        <s v="迁安市铭勋商店"/>
        <s v="银川市兴庆区马力调味品丽景街店"/>
        <s v="兰陵县福吉商贸有限公司仲村分店"/>
        <s v="贵阳云岩默冠食品经营部"/>
        <s v="澄迈老城福满多百货超市（个体工商户）"/>
        <s v="临高博厚马福升手拉手生活超市"/>
        <s v="漯河市召陵区百草清食品商行"/>
        <s v="银川市兴庆区苹柠生活超市（个体工商户）"/>
        <s v="武汉武商超市管理有限公司梦时代生活馆"/>
        <s v="屯昌南坤旺源超市"/>
        <s v="幸福妈咪（北京）进出口有限公司"/>
        <s v="南京市高淳区乐多日杂超市"/>
        <s v="靖远沃美万佳超市"/>
        <s v="大名县京府黑芝麻小磨香油有限公司"/>
        <s v="南京欣维安医药科技有限公司"/>
        <s v="秦安县大地湾精品生活超市中心"/>
        <s v="广州盒马鲜生网络科技有限公司天河区第三分公司"/>
        <s v="美丽河便民副食批发部"/>
        <s v="宜章县白石渡鑫旺超市"/>
        <s v="秦安县心连心精品生活超市"/>
        <s v="厦门福多堂大药房有限公司"/>
        <s v="百色市田阳区芯悦杂货店"/>
        <s v="武汉市硚口区讯脉母婴用品商行"/>
        <s v="中百仓储超市有限公司团风店"/>
        <s v="无锡智慧益童健康科技有限公司"/>
        <s v="西安市高陵区家福乐购物广场有限公司"/>
      </sharedItems>
    </cacheField>
    <cacheField name="被抽样单位地址" numFmtId="0">
      <sharedItems count="47">
        <s v="江西省景德镇市浮梁县鹅湖镇天宝路7号"/>
        <s v="黑龙江省哈尔滨市道里区埃德蒙顿路电炉小区6栋1层5-2号"/>
        <s v="广东省广州市越秀区晴波路9号二沙岛文立方自编号：二层L225-L230"/>
        <s v="云南省楚雄彝族自治州牟定县共和镇新南路牟定县电子商务公共服务中心4楼404号-1129"/>
        <s v="中国（上海）自由贸易试验区黄杨路57号1层A区"/>
        <s v="江西省南昌市南昌高新技术产业开发区紫阳大道2999号紫阳明珠一期酒店（第1-30层）2706"/>
        <s v="广东省深圳市龙岗区南湾街道下李朗社区平朗路9号万国食品城C座10层C、D单元"/>
        <s v="安徽省亳州市谯城区五马镇乔口行政村李园村民组1号"/>
        <s v="甘肃省兰州市城关区新武都路194号"/>
        <s v="江苏省扬州市宝应县淮江大道2号"/>
        <s v="安徽省合肥市庐江县罗河镇高桥村余庄村民组"/>
        <s v="山东省临沂市罗庄区罗庄街道罗五路财富广场132号"/>
        <s v="河南省平顶山市汝州市煤山街道向阳西路155号"/>
        <s v="海南省定安县龙门镇解放街73号"/>
        <s v="黑龙江省牡丹江市绥芬河市迎泽建材家具城扩建（三期）绥芬河罗斯帝国商业管理有限公司一层A4-1号"/>
        <s v="四川省眉山市仁寿县"/>
        <s v="新疆维吾尔自治区昌吉回族自治州呼图壁县五工台镇林场村Z901线西侧（新疆古丝路驿站商贸有限公司商业街）"/>
        <s v="广西壮族自治区桂林市象山区安新市场二楼门面"/>
        <s v="河南省郑州市新郑市龙湖镇双湖大道与文昌路交叉口西北角二楼"/>
        <s v="湖南省长沙市天心区先锋街道临托子冲路106号-AB34"/>
        <s v="云南省曲靖市宣威市落水镇供销社"/>
        <s v="河北省唐山市迁安市永顺街道办事处君和广场婚庆街B4-2-4"/>
        <s v="宁夏回族自治区银川市兴庆区丽景街东侧立达国际建材五金家居博览城68号地块47号商业仓储楼106号"/>
        <s v="山东省临沂市兰陵县大仲村镇人民政府对过"/>
        <s v="贵州省贵阳市云岩区三桥综合批发市场南区D座522号"/>
        <s v="海南省澄迈县老城镇青龙路四季康城二期D区21号楼04—11号铺面"/>
        <s v="海南省临高县博厚镇临海路100号"/>
        <s v="河南省漯河市召陵区青年村乡砖桥村68号"/>
        <s v="宁夏回族自治区银川市兴庆区掌政镇安置区56号楼第101号商业房"/>
        <s v="湖北省武汉市武昌区中南路街道武珞路598号武汉武商梦时代广场一层C区129号"/>
        <s v="海南省屯昌县南坤镇中坤大道10号"/>
        <s v="北京市丰台区中核路3号院3号楼15层1518"/>
        <s v="江苏省南京市高淳区固城镇人民南路62-2号1幢"/>
        <s v="甘肃省白银市靖远县刘川镇张滩村389号"/>
        <s v="河北省邯郸市大名县香油城"/>
        <s v="江苏省南京市江宁区菲尼克斯路70号总部基地33号楼2002室（江宁开发区）"/>
        <s v="甘肃省天水市秦安县兴国镇城南新区大地湾商业广场2号楼负一楼"/>
        <s v="广东省广州市天河区黄埔大道东823号首层103号，负一层B101号"/>
        <s v="内蒙古自治区赤峰市元宝山区美丽河镇美丽河市场对面"/>
        <s v="湖南省郴州市宜章县白石渡解放路"/>
        <s v="甘肃省天水市秦安县兴国镇康庄街御怡嘉苑1号商铺"/>
        <s v="福建省厦门市集美区灌口镇安仁里24号101室"/>
        <s v="广西壮族自治区百色市田阳区头塘镇头塘农贸市场干货行105号摊"/>
        <s v="湖北省武汉市硚口区中山大道285美奇国际广场F1层"/>
        <s v="湖北省黄冈市团风县团风镇团方大道南侧（君临天下内A栋第2层），A幢"/>
        <s v="江苏省无锡市滨湖区绣溪路58-1号楼5A01A"/>
        <s v="陕西省西安市高陵区姬家街办杨官寨村太和医院西侧"/>
      </sharedItems>
    </cacheField>
    <cacheField name="样品名称" numFmtId="0">
      <sharedItems count="46">
        <s v="糯谷酒"/>
        <s v="施儿佳营养包-Ⅰ型"/>
        <s v="BIHUN KAMPUNG爱一世咖喱味米粉（方便米粉）"/>
        <s v="多维钙铁锌营养包"/>
        <s v="将军牌Chex肉桂味脆米麦片"/>
        <s v="薏湿糕"/>
        <s v="福瑞托牌勺状玉米片（膨化食品）"/>
        <s v="大华生抽酿造酱油"/>
        <s v="酸枣仁百合茯苓茶"/>
        <s v="景润蜂王浆"/>
        <s v="纯藕粉"/>
        <s v="莲子百合芡实营养米粉"/>
        <s v="坚果小饼（咸蛋黄坚果味）"/>
        <s v="无蔗糖杂粮蛋糕"/>
        <s v="海顺陈醋"/>
        <s v="拉盟莎亚麻籽油"/>
        <s v="牛肉糜粒（香辣味）"/>
        <s v="凝神聚内苏打水饮料"/>
        <s v="干百合"/>
        <s v="山药椰汁"/>
        <s v="多艾纤芊益生菌果蔬饮"/>
        <s v="红糖"/>
        <s v="粉条"/>
        <s v="孜然粉"/>
        <s v="巧克力味通心酥饼干（酥性饼干）"/>
        <s v="八角"/>
        <s v="红枣片（水果干制品）"/>
        <s v="酸辣粉"/>
        <s v="果丹皮（蜜饯）"/>
        <s v="金骏眉（红茶）"/>
        <s v="小米椒（干辣椒）"/>
        <s v="婴幼儿夹心谷物棒（蓝莓味）"/>
        <s v="土豆粉（湿粉条）"/>
        <s v="柿饼（水果干制品）"/>
        <s v="小磨芝麻香油"/>
        <s v="γ-氨基丁酸耐力运动营养饮品"/>
        <s v="清水黄花菜（酱腌菜）"/>
        <s v="炒酸菜（蔬菜制品）"/>
        <s v="哈尔滨风味红肠"/>
        <s v="手撕姜（凉果类）"/>
        <s v="老面包"/>
        <s v="白蛋白肽特殊膳食食品"/>
        <s v="白芷"/>
        <s v="钙镁锌营养饮（4阶）（运动营养食品-补充能量类）"/>
        <s v="钙铁锌液体饮"/>
        <s v="大面筋（其他谷物粉类制成品）"/>
      </sharedItems>
    </cacheField>
    <cacheField name="规格型号" numFmtId="0">
      <sharedItems count="38">
        <s v="散装，52%vol"/>
        <s v="300g（10g×30）/盒"/>
        <s v="（米粉+配料65克×5，米粉：55克×5）/袋"/>
        <s v="60克（2克×30袋）/罐"/>
        <s v="340克/盒"/>
        <s v="250克/罐"/>
        <s v="311.8克/袋"/>
        <s v="640mL/瓶"/>
        <s v="150克（5克×30）/袋"/>
        <s v="（490克±10克）/瓶"/>
        <s v="540g（18小袋）/袋"/>
        <s v="500克/桶"/>
        <s v="散装称重"/>
        <s v="420ml/瓶"/>
        <s v="0.5升/瓶"/>
        <s v="238克/包"/>
        <s v="340ml/瓶"/>
        <s v="/"/>
        <s v="246mL/瓶"/>
        <s v="260g（20×13g）/盒"/>
        <s v="780克/袋"/>
        <s v="计量销售"/>
        <s v="30克/瓶"/>
        <s v="150克/袋"/>
        <s v="112克（粉丝52克 配料60克）/桶"/>
        <s v="50g（5g×10根）/盒"/>
        <s v="350克/袋"/>
        <s v="400ml/瓶"/>
        <s v="300mL（30mL×10瓶）/盒"/>
        <s v="500g/袋"/>
        <s v="250g/盒"/>
        <s v="称重销售"/>
        <s v="300克/袋"/>
        <s v="300ml（50ml/瓶×6瓶）/盒"/>
        <s v="200mL（10mL×20）/罐"/>
        <s v="500克/袋"/>
        <s v="120mL（10mL/支×12支）/盒"/>
        <s v="计量称重"/>
      </sharedItems>
    </cacheField>
    <cacheField name="商标" numFmtId="0">
      <sharedItems count="32">
        <s v="/"/>
        <s v="图形"/>
        <s v="营养钻石和图形"/>
        <s v="Chex"/>
        <s v="黄太阳"/>
        <s v="Fritos"/>
        <s v="TAI HUA"/>
        <s v="淘藕人及图形商标"/>
        <s v="山养堂"/>
        <s v="巧能和图形"/>
        <s v="尚食熊"/>
        <s v="Edsp伊达和图形"/>
        <s v="神内和图形"/>
        <s v="三粒臻品"/>
        <s v="多艾·纤芊"/>
        <s v="竹叶欣"/>
        <s v="味名源扬和图形"/>
        <s v="黔冠和图形"/>
        <s v="金小匠"/>
        <s v="广盛和图形"/>
        <s v="BIOmaus和图形"/>
        <s v="康源"/>
        <s v="五鹿香及图形"/>
        <s v="健蓓高"/>
        <s v="陇乡人和图形"/>
        <s v="哈香王和图形"/>
        <s v="对味铺子"/>
        <s v="迪力堡宝"/>
        <s v="宝芝乐铺"/>
        <s v="英珞维·生长森林"/>
        <s v="汪水堂干货世家和图形"/>
        <s v="小葵花益童和图形"/>
      </sharedItems>
    </cacheField>
    <cacheField name="生产日期" numFmtId="176">
      <sharedItems containsSemiMixedTypes="0" containsString="0" containsNonDate="0" containsDate="1" minDate="2022-05-20T00:00:00" maxDate="2025-04-15T00:00:00" count="45">
        <d v="2022-05-20T00:00:00"/>
        <d v="2024-01-02T00:00:00"/>
        <d v="2024-02-21T00:00:00"/>
        <d v="2024-03-10T00:00:00"/>
        <d v="2024-03-16T00:00:00"/>
        <d v="2024-05-06T00:00:00"/>
        <d v="2024-05-31T00:00:00"/>
        <d v="2024-06-18T00:00:00"/>
        <d v="2024-06-26T00:00:00"/>
        <d v="2024-07-08T00:00:00"/>
        <d v="2024-07-15T00:00:00"/>
        <d v="2024-07-18T00:00:00"/>
        <d v="2024-07-24T00:00:00"/>
        <d v="2024-08-06T00:00:00"/>
        <d v="2024-08-08T00:00:00"/>
        <d v="2024-08-11T00:00:00"/>
        <d v="2024-09-13T00:00:00"/>
        <d v="2024-09-15T00:00:00"/>
        <d v="2024-09-16T00:00:00"/>
        <d v="2024-10-29T00:00:00"/>
        <d v="2024-11-08T00:00:00"/>
        <d v="2024-11-15T00:00:00"/>
        <d v="2024-12-05T00:00:00"/>
        <d v="2024-12-07T00:00:00"/>
        <d v="2024-12-08T00:00:00"/>
        <d v="2024-12-26T00:00:00"/>
        <d v="2024-12-27T00:00:00"/>
        <d v="2025-01-01T00:00:00"/>
        <d v="2025-01-08T00:00:00"/>
        <d v="2025-01-09T00:00:00"/>
        <d v="2025-01-15T00:00:00"/>
        <d v="2025-01-24T00:00:00"/>
        <d v="2025-02-01T00:00:00"/>
        <d v="2025-02-07T00:00:00"/>
        <d v="2025-02-11T00:00:00"/>
        <d v="2025-02-13T00:00:00"/>
        <d v="2025-02-14T00:00:00"/>
        <d v="2025-02-15T00:00:00"/>
        <d v="2025-02-21T00:00:00"/>
        <d v="2025-02-26T00:00:00"/>
        <d v="2025-02-27T00:00:00"/>
        <d v="2025-03-13T00:00:00"/>
        <d v="2025-03-26T00:00:00"/>
        <d v="2025-03-28T00:00:00"/>
        <d v="2025-04-15T00:00:00"/>
      </sharedItems>
    </cacheField>
    <cacheField name="保质期" numFmtId="0">
      <sharedItems count="18">
        <s v="/"/>
        <s v="24个月"/>
        <s v="保质期至：2025/08/21"/>
        <s v="保质期至：2025年03月16日"/>
        <s v="90天"/>
        <s v="保质期至：2024年11月30日"/>
        <s v="保质期至：2026/12/18"/>
        <s v="18个月"/>
        <s v="-18℃冷冻24个月，冷藏2个月（适合服用期间）"/>
        <s v="12个月"/>
        <s v="9个月"/>
        <s v="18个月（允许少量沉淀）"/>
        <s v="12个月（常温）"/>
        <s v="10个月"/>
        <s v="二十四个月"/>
        <s v="0℃-4℃冷藏贮存150天，常温贮存120天"/>
        <s v="常温下150天"/>
        <s v="六个月"/>
      </sharedItems>
    </cacheField>
    <cacheField name="不合格项目" numFmtId="0">
      <sharedItems count="28">
        <s v="甜蜜素（以环己基氨基磺酸计）"/>
        <s v="维生素C"/>
        <s v="菌落总数"/>
        <s v="维生素A"/>
        <s v="维生素B6"/>
        <s v="叶酸"/>
        <s v="过氧化值（以脂肪计）"/>
        <s v="大肠菌群"/>
        <s v="氨基酸态氮"/>
        <s v="霉菌"/>
        <s v="10-羟基-2-癸烯酸"/>
        <s v="亮蓝"/>
        <s v="不挥发酸（以乳酸计）"/>
        <s v="酸价（KOH）"/>
        <s v="N-二甲基亚硝胺"/>
        <s v="脱氢乙酸及其钠盐（以脱氢乙酸计）"/>
        <s v="二氧化硫残留量"/>
        <s v="蛋白质"/>
        <s v="胭脂红"/>
        <s v="柠檬黄"/>
        <s v="铝的残留量（干样品，以Al计）"/>
        <s v="多菌灵"/>
        <s v="日落黄"/>
        <s v="山梨酸及其钾盐（以山梨酸计）"/>
        <s v="脂肪"/>
        <s v="钠"/>
        <s v="诱惑红"/>
        <s v="钙"/>
      </sharedItems>
    </cacheField>
    <cacheField name="检验值" numFmtId="0">
      <sharedItems containsNumber="1" containsMixedTypes="1" count="49">
        <s v="0.00248g/kg"/>
        <s v="3.8mg/每日"/>
        <s v="2.7×104CFU/g；4.3×104CFU/g；4.1×104CFU/g；1.4×104CFU/g；2.8×104CFU/g"/>
        <s v="未检出（定量限：30μg/100g）"/>
        <s v="0.0576mg/每日份"/>
        <s v="未检出（定量限：1.0μg/100g）"/>
        <s v="0.30g/100g"/>
        <s v="5.2×103CFU/g；240CFU/g；30CFU/g；65CFU/g；430CFU/g"/>
        <s v="0.47g/100g"/>
        <s v="0.68g/100mL"/>
        <s v="1.5×104CFU/g"/>
        <s v="未检出"/>
        <s v="240CFU/g；110CFU/g；160CFU/g；200CFU/g；220CFU/g"/>
        <s v="1.1×103CFU/g；1.1×103CFU/g；1.1×103CFU/g；1.3×103CFU/g；1.1×103CFU/g"/>
        <s v="100CFU/g"/>
        <s v="0.0189g/kg"/>
        <s v="0.06g/100mL"/>
        <s v="5.8mg/g"/>
        <s v="24.36μg/kg"/>
        <s v="0.331g/kg"/>
        <s v="3.48g/kg"/>
        <n v="0.0069"/>
        <s v="0.0468g/kg"/>
        <s v="0.0781g/kg"/>
        <s v="237mg/kg"/>
        <s v="326mg/kg"/>
        <s v="0.83mg/kg"/>
        <s v="0.0153g/kg"/>
        <s v="0.452g/kg"/>
        <s v="2.21g/kg"/>
        <s v="320mg/kg"/>
        <s v="0.855g/kg"/>
        <s v="0.00978g/kg"/>
        <s v="2.89g/kg"/>
        <s v="1.12g/100kJ"/>
        <s v="209mg/kg"/>
        <s v="0.0474g/kg"/>
        <s v="3.7mg/g"/>
        <s v="0.883mg/每日（每日食用量以1瓶（30ml）计）"/>
        <s v="2.28g/kg"/>
        <s v="0.369g/kg"/>
        <s v="0.0206g/kg"/>
        <s v="0.0378g/kg"/>
        <s v="0.347g/kg"/>
        <s v="13.5mg/每日（每日食用量以1瓶（50ml）计）"/>
        <s v="1.20g/kg"/>
        <s v="0.0969g/kg"/>
        <s v="未检出（定量限：5mg/L）"/>
        <s v="0.175g/kg"/>
      </sharedItems>
    </cacheField>
    <cacheField name="标准值" numFmtId="0">
      <sharedItems count="30">
        <s v="不得使用"/>
        <s v="60—230mg/每日且实际含量不应低于标示值的80%"/>
        <s v="n=5，c=2，m=104CFU/g，M=105CFU/g"/>
        <s v="150—360μgRE/每日份且实际含量不应低于标示值的80%"/>
        <s v="≥0.20mg/每日份且实际含量不应低于标示值的80%"/>
        <s v="35.3—150μg/每日份且实际含量不应低于标示值的80%"/>
        <s v="≤0.25g/100g"/>
        <s v="n=5，c=2，m=10CFU/g，M=100CFU/g"/>
        <s v="≥0.4g/100mL"/>
        <s v="≤103CFU/g"/>
        <s v="≥1.4%"/>
        <s v="n=5，c=2，m=50CFU/g，M=100CFU/g"/>
        <s v="≤50CFU/g"/>
        <s v="≥0.50g/100mL"/>
        <s v="≤3mg/g"/>
        <s v="≤3.0µg/kg"/>
        <s v="≤0.2g/kg"/>
        <s v="/"/>
        <s v="≤200mg/kg"/>
        <s v="≤0.3mg/kg"/>
        <s v="≤0.15g/kg"/>
        <s v="≤0.1g/kg"/>
        <s v="≤0.5g/kg"/>
        <s v="≤0.8g/100kJ且实际含量不应低于标示值的80%"/>
        <s v="≤2.5mg/g"/>
        <s v="≤1600mg/每日且实际含量不应低于标示值的80%"/>
        <s v="≤0.015g/kg"/>
        <s v="120—375μg/每日且实际含量不应低于标示值的80%"/>
        <s v="≤0.03g/kg"/>
        <s v="150—800mg/每日且实际含量不应低于标示值的80%"/>
      </sharedItems>
    </cacheField>
    <cacheField name="标称地址" numFmtId="0">
      <sharedItems count="21">
        <s v="江西"/>
        <s v="上海"/>
        <s v="广东"/>
        <s v="安徽"/>
        <s v="甘肃"/>
        <s v="江苏"/>
        <s v="山东"/>
        <s v="海南"/>
        <s v="龙江"/>
        <s v="新疆"/>
        <s v="广西"/>
        <s v="云南"/>
        <s v="河北"/>
        <s v="宁夏"/>
        <s v="贵州"/>
        <s v="河南"/>
        <s v="辽宁"/>
        <s v="湖北"/>
        <s v="湖南"/>
        <s v="浙江"/>
        <s v="/"/>
      </sharedItems>
    </cacheField>
    <cacheField name="抽样地址" numFmtId="0">
      <sharedItems count="23">
        <s v="江西"/>
        <s v="龙江"/>
        <s v="广东"/>
        <s v="云南"/>
        <s v="上海"/>
        <s v="安徽"/>
        <s v="甘肃"/>
        <s v="江苏"/>
        <s v="山东"/>
        <s v="河南"/>
        <s v="海南"/>
        <s v="四川"/>
        <s v="新疆"/>
        <s v="广西"/>
        <s v="湖南"/>
        <s v="河北"/>
        <s v="宁夏"/>
        <s v="贵州"/>
        <s v="湖北"/>
        <s v="北京"/>
        <s v="内蒙"/>
        <s v="福建"/>
        <s v="陕西"/>
      </sharedItems>
    </cacheField>
    <cacheField name="是否本地" numFmtId="0">
      <sharedItems count="2">
        <s v="是"/>
        <s v="否"/>
      </sharedItems>
    </cacheField>
    <cacheField name="超标程度" numFmtId="0">
      <sharedItems count="5">
        <s v="严重超标"/>
        <s v="含量不足"/>
        <s v="轻度超标"/>
        <s v="中度超标"/>
        <s v="暂不考虑" u="1"/>
      </sharedItems>
    </cacheField>
    <cacheField name="是否为落后地区" numFmtId="0">
      <sharedItems count="3">
        <s v="普通地区"/>
        <s v="欠发达地区"/>
        <s v="发达地区"/>
      </sharedItems>
    </cacheField>
    <cacheField name="企业类型" numFmtId="0">
      <sharedItems count="2">
        <s v="其他"/>
        <s v="有限公司"/>
      </sharedItems>
    </cacheField>
    <cacheField name="月份" numFmtId="0">
      <sharedItems containsSemiMixedTypes="0" containsString="0" containsNonDate="0" containsDate="1" minDate="2022-05-20T00:00:00" maxDate="2025-04-15T00:00:00" count="45">
        <d v="2022-05-20T00:00:00"/>
        <d v="2024-01-02T00:00:00"/>
        <d v="2024-02-21T00:00:00"/>
        <d v="2024-03-10T00:00:00"/>
        <d v="2024-03-16T00:00:00"/>
        <d v="2024-05-06T00:00:00"/>
        <d v="2024-05-31T00:00:00"/>
        <d v="2024-06-18T00:00:00"/>
        <d v="2024-06-26T00:00:00"/>
        <d v="2024-07-08T00:00:00"/>
        <d v="2024-07-15T00:00:00"/>
        <d v="2024-07-18T00:00:00"/>
        <d v="2024-07-24T00:00:00"/>
        <d v="2024-08-06T00:00:00"/>
        <d v="2024-08-08T00:00:00"/>
        <d v="2024-08-11T00:00:00"/>
        <d v="2024-09-13T00:00:00"/>
        <d v="2024-09-15T00:00:00"/>
        <d v="2024-09-16T00:00:00"/>
        <d v="2024-10-29T00:00:00"/>
        <d v="2024-11-08T00:00:00"/>
        <d v="2024-11-15T00:00:00"/>
        <d v="2024-12-05T00:00:00"/>
        <d v="2024-12-07T00:00:00"/>
        <d v="2024-12-08T00:00:00"/>
        <d v="2024-12-26T00:00:00"/>
        <d v="2024-12-27T00:00:00"/>
        <d v="2025-01-01T00:00:00"/>
        <d v="2025-01-08T00:00:00"/>
        <d v="2025-01-09T00:00:00"/>
        <d v="2025-01-15T00:00:00"/>
        <d v="2025-01-24T00:00:00"/>
        <d v="2025-02-01T00:00:00"/>
        <d v="2025-02-07T00:00:00"/>
        <d v="2025-02-11T00:00:00"/>
        <d v="2025-02-13T00:00:00"/>
        <d v="2025-02-14T00:00:00"/>
        <d v="2025-02-15T00:00:00"/>
        <d v="2025-02-21T00:00:00"/>
        <d v="2025-02-26T00:00:00"/>
        <d v="2025-02-27T00:00:00"/>
        <d v="2025-03-13T00:00:00"/>
        <d v="2025-03-26T00:00:00"/>
        <d v="2025-03-28T00:00:00"/>
        <d v="2025-04-15T00:00:00"/>
      </sharedItems>
      <fieldGroup base="18">
        <rangePr groupBy="months" startDate="2022-05-20T00:00:00" endDate="2025-04-15T00:00:00" groupInterval="1"/>
        <groupItems count="14">
          <s v="&lt;2022/5/20"/>
          <s v="1月"/>
          <s v="2月"/>
          <s v="3月"/>
          <s v="4月"/>
          <s v="5月"/>
          <s v="6月"/>
          <s v="7月"/>
          <s v="8月"/>
          <s v="9月"/>
          <s v="10月"/>
          <s v="11月"/>
          <s v="12月"/>
          <s v="&gt;2025/4/15"/>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50">
  <r>
    <x v="0"/>
    <x v="0"/>
    <x v="0"/>
    <x v="0"/>
    <x v="0"/>
    <x v="0"/>
    <x v="0"/>
    <x v="0"/>
    <x v="0"/>
    <x v="0"/>
    <x v="0"/>
    <x v="0"/>
    <x v="0"/>
    <x v="0"/>
    <x v="0"/>
    <x v="0"/>
    <x v="0"/>
    <x v="0"/>
    <x v="0"/>
  </r>
  <r>
    <x v="1"/>
    <x v="1"/>
    <x v="1"/>
    <x v="1"/>
    <x v="1"/>
    <x v="1"/>
    <x v="1"/>
    <x v="1"/>
    <x v="1"/>
    <x v="1"/>
    <x v="1"/>
    <x v="1"/>
    <x v="1"/>
    <x v="1"/>
    <x v="1"/>
    <x v="1"/>
    <x v="1"/>
    <x v="1"/>
    <x v="1"/>
  </r>
  <r>
    <x v="2"/>
    <x v="2"/>
    <x v="2"/>
    <x v="2"/>
    <x v="2"/>
    <x v="2"/>
    <x v="1"/>
    <x v="2"/>
    <x v="2"/>
    <x v="2"/>
    <x v="2"/>
    <x v="2"/>
    <x v="2"/>
    <x v="2"/>
    <x v="0"/>
    <x v="0"/>
    <x v="2"/>
    <x v="1"/>
    <x v="2"/>
  </r>
  <r>
    <x v="3"/>
    <x v="3"/>
    <x v="3"/>
    <x v="3"/>
    <x v="3"/>
    <x v="3"/>
    <x v="2"/>
    <x v="3"/>
    <x v="1"/>
    <x v="3"/>
    <x v="3"/>
    <x v="3"/>
    <x v="3"/>
    <x v="3"/>
    <x v="1"/>
    <x v="1"/>
    <x v="0"/>
    <x v="1"/>
    <x v="3"/>
  </r>
  <r>
    <x v="3"/>
    <x v="3"/>
    <x v="3"/>
    <x v="3"/>
    <x v="3"/>
    <x v="3"/>
    <x v="2"/>
    <x v="3"/>
    <x v="1"/>
    <x v="4"/>
    <x v="4"/>
    <x v="4"/>
    <x v="3"/>
    <x v="3"/>
    <x v="1"/>
    <x v="1"/>
    <x v="0"/>
    <x v="1"/>
    <x v="3"/>
  </r>
  <r>
    <x v="3"/>
    <x v="3"/>
    <x v="3"/>
    <x v="3"/>
    <x v="3"/>
    <x v="3"/>
    <x v="2"/>
    <x v="3"/>
    <x v="1"/>
    <x v="5"/>
    <x v="5"/>
    <x v="5"/>
    <x v="3"/>
    <x v="3"/>
    <x v="1"/>
    <x v="1"/>
    <x v="0"/>
    <x v="1"/>
    <x v="3"/>
  </r>
  <r>
    <x v="4"/>
    <x v="4"/>
    <x v="4"/>
    <x v="4"/>
    <x v="4"/>
    <x v="4"/>
    <x v="3"/>
    <x v="4"/>
    <x v="3"/>
    <x v="6"/>
    <x v="6"/>
    <x v="6"/>
    <x v="2"/>
    <x v="4"/>
    <x v="1"/>
    <x v="2"/>
    <x v="2"/>
    <x v="1"/>
    <x v="4"/>
  </r>
  <r>
    <x v="5"/>
    <x v="5"/>
    <x v="5"/>
    <x v="5"/>
    <x v="5"/>
    <x v="5"/>
    <x v="4"/>
    <x v="5"/>
    <x v="4"/>
    <x v="7"/>
    <x v="7"/>
    <x v="7"/>
    <x v="3"/>
    <x v="0"/>
    <x v="1"/>
    <x v="0"/>
    <x v="0"/>
    <x v="1"/>
    <x v="5"/>
  </r>
  <r>
    <x v="6"/>
    <x v="6"/>
    <x v="4"/>
    <x v="4"/>
    <x v="6"/>
    <x v="6"/>
    <x v="5"/>
    <x v="6"/>
    <x v="5"/>
    <x v="6"/>
    <x v="8"/>
    <x v="6"/>
    <x v="2"/>
    <x v="4"/>
    <x v="1"/>
    <x v="3"/>
    <x v="2"/>
    <x v="1"/>
    <x v="6"/>
  </r>
  <r>
    <x v="7"/>
    <x v="7"/>
    <x v="6"/>
    <x v="6"/>
    <x v="7"/>
    <x v="7"/>
    <x v="6"/>
    <x v="7"/>
    <x v="6"/>
    <x v="8"/>
    <x v="9"/>
    <x v="8"/>
    <x v="2"/>
    <x v="2"/>
    <x v="0"/>
    <x v="2"/>
    <x v="2"/>
    <x v="1"/>
    <x v="7"/>
  </r>
  <r>
    <x v="8"/>
    <x v="8"/>
    <x v="7"/>
    <x v="7"/>
    <x v="8"/>
    <x v="8"/>
    <x v="0"/>
    <x v="8"/>
    <x v="7"/>
    <x v="9"/>
    <x v="10"/>
    <x v="9"/>
    <x v="3"/>
    <x v="5"/>
    <x v="0"/>
    <x v="3"/>
    <x v="0"/>
    <x v="1"/>
    <x v="8"/>
  </r>
  <r>
    <x v="9"/>
    <x v="9"/>
    <x v="8"/>
    <x v="8"/>
    <x v="9"/>
    <x v="9"/>
    <x v="0"/>
    <x v="9"/>
    <x v="8"/>
    <x v="10"/>
    <x v="11"/>
    <x v="10"/>
    <x v="4"/>
    <x v="6"/>
    <x v="0"/>
    <x v="1"/>
    <x v="1"/>
    <x v="0"/>
    <x v="9"/>
  </r>
  <r>
    <x v="10"/>
    <x v="10"/>
    <x v="9"/>
    <x v="9"/>
    <x v="10"/>
    <x v="10"/>
    <x v="7"/>
    <x v="10"/>
    <x v="9"/>
    <x v="9"/>
    <x v="12"/>
    <x v="11"/>
    <x v="5"/>
    <x v="7"/>
    <x v="0"/>
    <x v="0"/>
    <x v="2"/>
    <x v="1"/>
    <x v="10"/>
  </r>
  <r>
    <x v="11"/>
    <x v="11"/>
    <x v="10"/>
    <x v="10"/>
    <x v="11"/>
    <x v="11"/>
    <x v="8"/>
    <x v="10"/>
    <x v="9"/>
    <x v="9"/>
    <x v="13"/>
    <x v="11"/>
    <x v="3"/>
    <x v="5"/>
    <x v="0"/>
    <x v="0"/>
    <x v="0"/>
    <x v="1"/>
    <x v="10"/>
  </r>
  <r>
    <x v="12"/>
    <x v="12"/>
    <x v="11"/>
    <x v="11"/>
    <x v="12"/>
    <x v="12"/>
    <x v="9"/>
    <x v="11"/>
    <x v="10"/>
    <x v="9"/>
    <x v="14"/>
    <x v="12"/>
    <x v="6"/>
    <x v="8"/>
    <x v="0"/>
    <x v="3"/>
    <x v="2"/>
    <x v="1"/>
    <x v="11"/>
  </r>
  <r>
    <x v="13"/>
    <x v="13"/>
    <x v="12"/>
    <x v="12"/>
    <x v="13"/>
    <x v="12"/>
    <x v="10"/>
    <x v="12"/>
    <x v="4"/>
    <x v="11"/>
    <x v="15"/>
    <x v="0"/>
    <x v="6"/>
    <x v="9"/>
    <x v="1"/>
    <x v="0"/>
    <x v="0"/>
    <x v="1"/>
    <x v="12"/>
  </r>
  <r>
    <x v="14"/>
    <x v="14"/>
    <x v="13"/>
    <x v="13"/>
    <x v="14"/>
    <x v="13"/>
    <x v="0"/>
    <x v="13"/>
    <x v="11"/>
    <x v="12"/>
    <x v="16"/>
    <x v="13"/>
    <x v="7"/>
    <x v="10"/>
    <x v="0"/>
    <x v="1"/>
    <x v="1"/>
    <x v="1"/>
    <x v="13"/>
  </r>
  <r>
    <x v="15"/>
    <x v="15"/>
    <x v="14"/>
    <x v="14"/>
    <x v="15"/>
    <x v="14"/>
    <x v="0"/>
    <x v="14"/>
    <x v="7"/>
    <x v="13"/>
    <x v="17"/>
    <x v="14"/>
    <x v="8"/>
    <x v="1"/>
    <x v="0"/>
    <x v="3"/>
    <x v="1"/>
    <x v="1"/>
    <x v="14"/>
  </r>
  <r>
    <x v="16"/>
    <x v="16"/>
    <x v="15"/>
    <x v="15"/>
    <x v="16"/>
    <x v="15"/>
    <x v="11"/>
    <x v="15"/>
    <x v="9"/>
    <x v="14"/>
    <x v="18"/>
    <x v="15"/>
    <x v="2"/>
    <x v="11"/>
    <x v="1"/>
    <x v="0"/>
    <x v="0"/>
    <x v="1"/>
    <x v="15"/>
  </r>
  <r>
    <x v="17"/>
    <x v="17"/>
    <x v="16"/>
    <x v="16"/>
    <x v="17"/>
    <x v="16"/>
    <x v="12"/>
    <x v="16"/>
    <x v="9"/>
    <x v="15"/>
    <x v="19"/>
    <x v="0"/>
    <x v="9"/>
    <x v="12"/>
    <x v="0"/>
    <x v="0"/>
    <x v="1"/>
    <x v="1"/>
    <x v="16"/>
  </r>
  <r>
    <x v="18"/>
    <x v="18"/>
    <x v="17"/>
    <x v="17"/>
    <x v="18"/>
    <x v="17"/>
    <x v="0"/>
    <x v="17"/>
    <x v="0"/>
    <x v="16"/>
    <x v="20"/>
    <x v="16"/>
    <x v="10"/>
    <x v="13"/>
    <x v="0"/>
    <x v="0"/>
    <x v="0"/>
    <x v="0"/>
    <x v="17"/>
  </r>
  <r>
    <x v="19"/>
    <x v="19"/>
    <x v="18"/>
    <x v="18"/>
    <x v="19"/>
    <x v="18"/>
    <x v="13"/>
    <x v="18"/>
    <x v="12"/>
    <x v="17"/>
    <x v="21"/>
    <x v="17"/>
    <x v="2"/>
    <x v="9"/>
    <x v="1"/>
    <x v="2"/>
    <x v="0"/>
    <x v="1"/>
    <x v="18"/>
  </r>
  <r>
    <x v="20"/>
    <x v="20"/>
    <x v="19"/>
    <x v="19"/>
    <x v="20"/>
    <x v="19"/>
    <x v="14"/>
    <x v="19"/>
    <x v="7"/>
    <x v="18"/>
    <x v="22"/>
    <x v="0"/>
    <x v="2"/>
    <x v="14"/>
    <x v="1"/>
    <x v="0"/>
    <x v="0"/>
    <x v="1"/>
    <x v="19"/>
  </r>
  <r>
    <x v="21"/>
    <x v="21"/>
    <x v="20"/>
    <x v="20"/>
    <x v="21"/>
    <x v="20"/>
    <x v="15"/>
    <x v="20"/>
    <x v="9"/>
    <x v="19"/>
    <x v="23"/>
    <x v="0"/>
    <x v="11"/>
    <x v="3"/>
    <x v="0"/>
    <x v="0"/>
    <x v="0"/>
    <x v="1"/>
    <x v="20"/>
  </r>
  <r>
    <x v="22"/>
    <x v="22"/>
    <x v="21"/>
    <x v="21"/>
    <x v="22"/>
    <x v="21"/>
    <x v="0"/>
    <x v="21"/>
    <x v="1"/>
    <x v="20"/>
    <x v="24"/>
    <x v="18"/>
    <x v="12"/>
    <x v="15"/>
    <x v="0"/>
    <x v="2"/>
    <x v="0"/>
    <x v="0"/>
    <x v="21"/>
  </r>
  <r>
    <x v="23"/>
    <x v="23"/>
    <x v="22"/>
    <x v="22"/>
    <x v="22"/>
    <x v="12"/>
    <x v="0"/>
    <x v="22"/>
    <x v="1"/>
    <x v="20"/>
    <x v="25"/>
    <x v="18"/>
    <x v="13"/>
    <x v="16"/>
    <x v="0"/>
    <x v="3"/>
    <x v="1"/>
    <x v="0"/>
    <x v="22"/>
  </r>
  <r>
    <x v="24"/>
    <x v="24"/>
    <x v="23"/>
    <x v="23"/>
    <x v="23"/>
    <x v="22"/>
    <x v="16"/>
    <x v="23"/>
    <x v="1"/>
    <x v="21"/>
    <x v="26"/>
    <x v="19"/>
    <x v="6"/>
    <x v="8"/>
    <x v="0"/>
    <x v="0"/>
    <x v="2"/>
    <x v="1"/>
    <x v="23"/>
  </r>
  <r>
    <x v="25"/>
    <x v="25"/>
    <x v="24"/>
    <x v="24"/>
    <x v="24"/>
    <x v="23"/>
    <x v="17"/>
    <x v="23"/>
    <x v="13"/>
    <x v="22"/>
    <x v="27"/>
    <x v="0"/>
    <x v="14"/>
    <x v="17"/>
    <x v="0"/>
    <x v="0"/>
    <x v="1"/>
    <x v="1"/>
    <x v="23"/>
  </r>
  <r>
    <x v="26"/>
    <x v="26"/>
    <x v="25"/>
    <x v="25"/>
    <x v="25"/>
    <x v="17"/>
    <x v="0"/>
    <x v="24"/>
    <x v="0"/>
    <x v="16"/>
    <x v="28"/>
    <x v="20"/>
    <x v="7"/>
    <x v="10"/>
    <x v="0"/>
    <x v="0"/>
    <x v="1"/>
    <x v="0"/>
    <x v="24"/>
  </r>
  <r>
    <x v="27"/>
    <x v="27"/>
    <x v="26"/>
    <x v="26"/>
    <x v="26"/>
    <x v="17"/>
    <x v="0"/>
    <x v="25"/>
    <x v="0"/>
    <x v="16"/>
    <x v="29"/>
    <x v="21"/>
    <x v="7"/>
    <x v="10"/>
    <x v="0"/>
    <x v="0"/>
    <x v="1"/>
    <x v="0"/>
    <x v="25"/>
  </r>
  <r>
    <x v="28"/>
    <x v="28"/>
    <x v="27"/>
    <x v="27"/>
    <x v="27"/>
    <x v="24"/>
    <x v="18"/>
    <x v="26"/>
    <x v="13"/>
    <x v="20"/>
    <x v="30"/>
    <x v="18"/>
    <x v="15"/>
    <x v="9"/>
    <x v="0"/>
    <x v="3"/>
    <x v="0"/>
    <x v="1"/>
    <x v="26"/>
  </r>
  <r>
    <x v="29"/>
    <x v="29"/>
    <x v="28"/>
    <x v="28"/>
    <x v="28"/>
    <x v="12"/>
    <x v="19"/>
    <x v="27"/>
    <x v="9"/>
    <x v="23"/>
    <x v="31"/>
    <x v="22"/>
    <x v="16"/>
    <x v="16"/>
    <x v="1"/>
    <x v="3"/>
    <x v="1"/>
    <x v="1"/>
    <x v="27"/>
  </r>
  <r>
    <x v="30"/>
    <x v="30"/>
    <x v="29"/>
    <x v="29"/>
    <x v="29"/>
    <x v="23"/>
    <x v="0"/>
    <x v="28"/>
    <x v="14"/>
    <x v="19"/>
    <x v="32"/>
    <x v="0"/>
    <x v="17"/>
    <x v="18"/>
    <x v="0"/>
    <x v="0"/>
    <x v="2"/>
    <x v="1"/>
    <x v="28"/>
  </r>
  <r>
    <x v="31"/>
    <x v="31"/>
    <x v="30"/>
    <x v="30"/>
    <x v="30"/>
    <x v="17"/>
    <x v="0"/>
    <x v="29"/>
    <x v="0"/>
    <x v="16"/>
    <x v="33"/>
    <x v="0"/>
    <x v="7"/>
    <x v="10"/>
    <x v="0"/>
    <x v="0"/>
    <x v="1"/>
    <x v="1"/>
    <x v="29"/>
  </r>
  <r>
    <x v="32"/>
    <x v="32"/>
    <x v="31"/>
    <x v="31"/>
    <x v="31"/>
    <x v="25"/>
    <x v="20"/>
    <x v="29"/>
    <x v="9"/>
    <x v="24"/>
    <x v="34"/>
    <x v="23"/>
    <x v="6"/>
    <x v="19"/>
    <x v="1"/>
    <x v="2"/>
    <x v="2"/>
    <x v="1"/>
    <x v="29"/>
  </r>
  <r>
    <x v="33"/>
    <x v="33"/>
    <x v="32"/>
    <x v="32"/>
    <x v="32"/>
    <x v="26"/>
    <x v="21"/>
    <x v="30"/>
    <x v="15"/>
    <x v="20"/>
    <x v="35"/>
    <x v="18"/>
    <x v="15"/>
    <x v="7"/>
    <x v="1"/>
    <x v="2"/>
    <x v="2"/>
    <x v="1"/>
    <x v="30"/>
  </r>
  <r>
    <x v="34"/>
    <x v="34"/>
    <x v="33"/>
    <x v="33"/>
    <x v="33"/>
    <x v="17"/>
    <x v="0"/>
    <x v="31"/>
    <x v="0"/>
    <x v="22"/>
    <x v="36"/>
    <x v="0"/>
    <x v="4"/>
    <x v="6"/>
    <x v="0"/>
    <x v="0"/>
    <x v="1"/>
    <x v="0"/>
    <x v="31"/>
  </r>
  <r>
    <x v="35"/>
    <x v="35"/>
    <x v="34"/>
    <x v="34"/>
    <x v="34"/>
    <x v="27"/>
    <x v="22"/>
    <x v="32"/>
    <x v="7"/>
    <x v="13"/>
    <x v="37"/>
    <x v="24"/>
    <x v="12"/>
    <x v="15"/>
    <x v="0"/>
    <x v="2"/>
    <x v="0"/>
    <x v="1"/>
    <x v="32"/>
  </r>
  <r>
    <x v="36"/>
    <x v="36"/>
    <x v="35"/>
    <x v="35"/>
    <x v="35"/>
    <x v="28"/>
    <x v="23"/>
    <x v="33"/>
    <x v="7"/>
    <x v="25"/>
    <x v="38"/>
    <x v="25"/>
    <x v="5"/>
    <x v="7"/>
    <x v="0"/>
    <x v="2"/>
    <x v="2"/>
    <x v="1"/>
    <x v="33"/>
  </r>
  <r>
    <x v="37"/>
    <x v="37"/>
    <x v="36"/>
    <x v="36"/>
    <x v="36"/>
    <x v="29"/>
    <x v="24"/>
    <x v="34"/>
    <x v="9"/>
    <x v="16"/>
    <x v="39"/>
    <x v="21"/>
    <x v="4"/>
    <x v="6"/>
    <x v="0"/>
    <x v="0"/>
    <x v="1"/>
    <x v="1"/>
    <x v="34"/>
  </r>
  <r>
    <x v="38"/>
    <x v="38"/>
    <x v="37"/>
    <x v="37"/>
    <x v="37"/>
    <x v="30"/>
    <x v="0"/>
    <x v="35"/>
    <x v="4"/>
    <x v="15"/>
    <x v="40"/>
    <x v="0"/>
    <x v="1"/>
    <x v="2"/>
    <x v="1"/>
    <x v="0"/>
    <x v="2"/>
    <x v="1"/>
    <x v="35"/>
  </r>
  <r>
    <x v="39"/>
    <x v="39"/>
    <x v="38"/>
    <x v="38"/>
    <x v="38"/>
    <x v="31"/>
    <x v="25"/>
    <x v="36"/>
    <x v="16"/>
    <x v="26"/>
    <x v="41"/>
    <x v="26"/>
    <x v="16"/>
    <x v="20"/>
    <x v="1"/>
    <x v="2"/>
    <x v="0"/>
    <x v="1"/>
    <x v="36"/>
  </r>
  <r>
    <x v="40"/>
    <x v="40"/>
    <x v="39"/>
    <x v="39"/>
    <x v="39"/>
    <x v="12"/>
    <x v="26"/>
    <x v="37"/>
    <x v="9"/>
    <x v="26"/>
    <x v="42"/>
    <x v="0"/>
    <x v="18"/>
    <x v="14"/>
    <x v="0"/>
    <x v="0"/>
    <x v="0"/>
    <x v="0"/>
    <x v="37"/>
  </r>
  <r>
    <x v="41"/>
    <x v="41"/>
    <x v="40"/>
    <x v="40"/>
    <x v="40"/>
    <x v="32"/>
    <x v="27"/>
    <x v="38"/>
    <x v="17"/>
    <x v="15"/>
    <x v="43"/>
    <x v="0"/>
    <x v="4"/>
    <x v="6"/>
    <x v="0"/>
    <x v="0"/>
    <x v="1"/>
    <x v="1"/>
    <x v="38"/>
  </r>
  <r>
    <x v="42"/>
    <x v="42"/>
    <x v="41"/>
    <x v="41"/>
    <x v="41"/>
    <x v="33"/>
    <x v="28"/>
    <x v="39"/>
    <x v="1"/>
    <x v="25"/>
    <x v="44"/>
    <x v="25"/>
    <x v="3"/>
    <x v="21"/>
    <x v="1"/>
    <x v="2"/>
    <x v="2"/>
    <x v="1"/>
    <x v="39"/>
  </r>
  <r>
    <x v="43"/>
    <x v="43"/>
    <x v="42"/>
    <x v="42"/>
    <x v="42"/>
    <x v="17"/>
    <x v="0"/>
    <x v="40"/>
    <x v="0"/>
    <x v="16"/>
    <x v="45"/>
    <x v="0"/>
    <x v="10"/>
    <x v="13"/>
    <x v="0"/>
    <x v="0"/>
    <x v="0"/>
    <x v="0"/>
    <x v="40"/>
  </r>
  <r>
    <x v="44"/>
    <x v="44"/>
    <x v="43"/>
    <x v="43"/>
    <x v="43"/>
    <x v="34"/>
    <x v="29"/>
    <x v="41"/>
    <x v="7"/>
    <x v="3"/>
    <x v="3"/>
    <x v="27"/>
    <x v="19"/>
    <x v="18"/>
    <x v="1"/>
    <x v="1"/>
    <x v="2"/>
    <x v="1"/>
    <x v="41"/>
  </r>
  <r>
    <x v="45"/>
    <x v="45"/>
    <x v="44"/>
    <x v="44"/>
    <x v="21"/>
    <x v="35"/>
    <x v="30"/>
    <x v="42"/>
    <x v="1"/>
    <x v="16"/>
    <x v="46"/>
    <x v="28"/>
    <x v="17"/>
    <x v="18"/>
    <x v="0"/>
    <x v="0"/>
    <x v="2"/>
    <x v="1"/>
    <x v="42"/>
  </r>
  <r>
    <x v="46"/>
    <x v="46"/>
    <x v="45"/>
    <x v="45"/>
    <x v="44"/>
    <x v="36"/>
    <x v="31"/>
    <x v="43"/>
    <x v="1"/>
    <x v="27"/>
    <x v="47"/>
    <x v="29"/>
    <x v="3"/>
    <x v="7"/>
    <x v="1"/>
    <x v="1"/>
    <x v="2"/>
    <x v="1"/>
    <x v="43"/>
  </r>
  <r>
    <x v="47"/>
    <x v="47"/>
    <x v="46"/>
    <x v="46"/>
    <x v="45"/>
    <x v="37"/>
    <x v="0"/>
    <x v="44"/>
    <x v="0"/>
    <x v="23"/>
    <x v="48"/>
    <x v="0"/>
    <x v="20"/>
    <x v="22"/>
    <x v="1"/>
    <x v="0"/>
    <x v="0"/>
    <x v="0"/>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E4:J29" firstHeaderRow="1" firstDataRow="2" firstDataCol="1" rowPageCount="1" colPageCount="1"/>
  <pivotFields count="19">
    <pivotField compact="0" showAll="0">
      <items count="49">
        <item x="47"/>
        <item x="42"/>
        <item x="3"/>
        <item x="46"/>
        <item x="5"/>
        <item x="8"/>
        <item x="39"/>
        <item x="35"/>
        <item x="16"/>
        <item x="24"/>
        <item x="0"/>
        <item x="41"/>
        <item x="9"/>
        <item x="43"/>
        <item x="18"/>
        <item x="26"/>
        <item x="27"/>
        <item x="31"/>
        <item x="34"/>
        <item x="25"/>
        <item x="29"/>
        <item x="14"/>
        <item x="28"/>
        <item x="45"/>
        <item x="6"/>
        <item x="15"/>
        <item x="32"/>
        <item x="36"/>
        <item x="38"/>
        <item x="4"/>
        <item x="40"/>
        <item x="11"/>
        <item x="33"/>
        <item x="22"/>
        <item x="37"/>
        <item x="12"/>
        <item x="20"/>
        <item x="21"/>
        <item x="19"/>
        <item x="1"/>
        <item x="17"/>
        <item x="30"/>
        <item x="10"/>
        <item x="44"/>
        <item x="23"/>
        <item x="13"/>
        <item x="7"/>
        <item x="2"/>
        <item t="default"/>
      </items>
    </pivotField>
    <pivotField compact="0" showAll="0">
      <items count="49">
        <item x="47"/>
        <item x="8"/>
        <item x="5"/>
        <item x="3"/>
        <item x="46"/>
        <item x="42"/>
        <item x="11"/>
        <item x="16"/>
        <item x="9"/>
        <item x="37"/>
        <item x="41"/>
        <item x="34"/>
        <item x="43"/>
        <item x="18"/>
        <item x="27"/>
        <item x="31"/>
        <item x="26"/>
        <item x="25"/>
        <item x="14"/>
        <item x="35"/>
        <item x="22"/>
        <item x="33"/>
        <item x="28"/>
        <item x="45"/>
        <item x="40"/>
        <item x="0"/>
        <item x="6"/>
        <item x="15"/>
        <item x="32"/>
        <item x="4"/>
        <item x="36"/>
        <item x="38"/>
        <item x="29"/>
        <item x="39"/>
        <item x="23"/>
        <item x="13"/>
        <item x="24"/>
        <item x="12"/>
        <item x="20"/>
        <item x="19"/>
        <item x="1"/>
        <item x="17"/>
        <item x="21"/>
        <item x="10"/>
        <item x="30"/>
        <item x="44"/>
        <item x="7"/>
        <item x="2"/>
        <item t="default"/>
      </items>
    </pivotField>
    <pivotField compact="0" showAll="0">
      <items count="48">
        <item x="4"/>
        <item x="42"/>
        <item x="7"/>
        <item x="8"/>
        <item x="25"/>
        <item x="34"/>
        <item x="13"/>
        <item x="0"/>
        <item x="37"/>
        <item x="2"/>
        <item x="24"/>
        <item x="17"/>
        <item x="1"/>
        <item x="18"/>
        <item x="16"/>
        <item x="33"/>
        <item x="23"/>
        <item x="26"/>
        <item x="11"/>
        <item x="10"/>
        <item x="27"/>
        <item x="38"/>
        <item x="3"/>
        <item x="5"/>
        <item x="32"/>
        <item x="35"/>
        <item x="21"/>
        <item x="36"/>
        <item x="40"/>
        <item x="15"/>
        <item x="12"/>
        <item x="41"/>
        <item x="6"/>
        <item x="14"/>
        <item x="30"/>
        <item x="45"/>
        <item x="43"/>
        <item x="29"/>
        <item x="46"/>
        <item x="31"/>
        <item x="20"/>
        <item x="9"/>
        <item x="39"/>
        <item x="22"/>
        <item x="28"/>
        <item x="19"/>
        <item x="44"/>
        <item t="default"/>
      </items>
    </pivotField>
    <pivotField compact="0" showAll="0">
      <items count="48">
        <item x="7"/>
        <item x="10"/>
        <item x="31"/>
        <item x="41"/>
        <item x="33"/>
        <item x="8"/>
        <item x="36"/>
        <item x="40"/>
        <item x="37"/>
        <item x="2"/>
        <item x="6"/>
        <item x="42"/>
        <item x="17"/>
        <item x="24"/>
        <item x="25"/>
        <item x="13"/>
        <item x="26"/>
        <item x="30"/>
        <item x="34"/>
        <item x="21"/>
        <item x="27"/>
        <item x="12"/>
        <item x="18"/>
        <item x="1"/>
        <item x="14"/>
        <item x="44"/>
        <item x="43"/>
        <item x="29"/>
        <item x="39"/>
        <item x="19"/>
        <item x="32"/>
        <item x="35"/>
        <item x="45"/>
        <item x="9"/>
        <item x="0"/>
        <item x="5"/>
        <item x="38"/>
        <item x="22"/>
        <item x="28"/>
        <item x="23"/>
        <item x="11"/>
        <item x="46"/>
        <item x="15"/>
        <item x="16"/>
        <item x="3"/>
        <item x="20"/>
        <item x="4"/>
        <item t="default"/>
      </items>
    </pivotField>
    <pivotField compact="0" showAll="0">
      <items count="47">
        <item x="2"/>
        <item x="35"/>
        <item x="25"/>
        <item x="41"/>
        <item x="42"/>
        <item x="37"/>
        <item x="10"/>
        <item x="7"/>
        <item x="45"/>
        <item x="20"/>
        <item x="3"/>
        <item x="22"/>
        <item x="6"/>
        <item x="43"/>
        <item x="44"/>
        <item x="18"/>
        <item x="28"/>
        <item x="38"/>
        <item x="14"/>
        <item x="21"/>
        <item x="26"/>
        <item x="12"/>
        <item x="4"/>
        <item x="29"/>
        <item x="9"/>
        <item x="15"/>
        <item x="40"/>
        <item x="11"/>
        <item x="17"/>
        <item x="16"/>
        <item x="0"/>
        <item x="24"/>
        <item x="36"/>
        <item x="19"/>
        <item x="1"/>
        <item x="33"/>
        <item x="39"/>
        <item x="27"/>
        <item x="8"/>
        <item x="32"/>
        <item x="13"/>
        <item x="30"/>
        <item x="34"/>
        <item x="5"/>
        <item x="31"/>
        <item x="23"/>
        <item t="default"/>
      </items>
    </pivotField>
    <pivotField compact="0" showAll="0">
      <items count="39">
        <item x="9"/>
        <item x="2"/>
        <item x="17"/>
        <item x="14"/>
        <item x="24"/>
        <item x="36"/>
        <item x="8"/>
        <item x="23"/>
        <item x="34"/>
        <item x="15"/>
        <item x="18"/>
        <item x="30"/>
        <item x="5"/>
        <item x="19"/>
        <item x="1"/>
        <item x="28"/>
        <item x="33"/>
        <item x="32"/>
        <item x="22"/>
        <item x="6"/>
        <item x="16"/>
        <item x="4"/>
        <item x="26"/>
        <item x="27"/>
        <item x="13"/>
        <item x="29"/>
        <item x="35"/>
        <item x="11"/>
        <item x="25"/>
        <item x="10"/>
        <item x="3"/>
        <item x="7"/>
        <item x="20"/>
        <item x="31"/>
        <item x="37"/>
        <item x="21"/>
        <item x="0"/>
        <item x="12"/>
        <item t="default"/>
      </items>
    </pivotField>
    <pivotField compact="0" showAll="0">
      <items count="33">
        <item x="0"/>
        <item x="20"/>
        <item x="3"/>
        <item x="11"/>
        <item x="5"/>
        <item x="6"/>
        <item x="28"/>
        <item x="27"/>
        <item x="26"/>
        <item x="14"/>
        <item x="19"/>
        <item x="25"/>
        <item x="4"/>
        <item x="23"/>
        <item x="18"/>
        <item x="21"/>
        <item x="24"/>
        <item x="17"/>
        <item x="9"/>
        <item x="13"/>
        <item x="8"/>
        <item x="10"/>
        <item x="12"/>
        <item x="7"/>
        <item x="1"/>
        <item x="30"/>
        <item x="16"/>
        <item x="22"/>
        <item x="31"/>
        <item x="29"/>
        <item x="2"/>
        <item x="15"/>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9">
        <item x="0"/>
        <item x="15"/>
        <item x="13"/>
        <item x="9"/>
        <item x="12"/>
        <item x="8"/>
        <item x="7"/>
        <item x="11"/>
        <item x="1"/>
        <item x="4"/>
        <item x="10"/>
        <item x="5"/>
        <item x="2"/>
        <item x="3"/>
        <item x="6"/>
        <item x="16"/>
        <item x="14"/>
        <item x="17"/>
        <item t="default"/>
      </items>
    </pivotField>
    <pivotField dataField="1" compact="0" showAll="0">
      <items count="29">
        <item x="10"/>
        <item x="14"/>
        <item x="8"/>
        <item x="12"/>
        <item x="7"/>
        <item x="17"/>
        <item x="21"/>
        <item x="16"/>
        <item x="27"/>
        <item x="6"/>
        <item x="2"/>
        <item x="11"/>
        <item x="20"/>
        <item x="9"/>
        <item x="25"/>
        <item x="19"/>
        <item x="22"/>
        <item x="23"/>
        <item x="13"/>
        <item x="0"/>
        <item x="15"/>
        <item x="3"/>
        <item x="4"/>
        <item x="1"/>
        <item x="18"/>
        <item x="5"/>
        <item x="26"/>
        <item x="24"/>
        <item t="default"/>
      </items>
    </pivotField>
    <pivotField compact="0" showAll="0">
      <items count="50">
        <item x="21"/>
        <item x="0"/>
        <item x="32"/>
        <item x="27"/>
        <item x="15"/>
        <item x="41"/>
        <item x="42"/>
        <item x="22"/>
        <item x="36"/>
        <item x="4"/>
        <item x="16"/>
        <item x="23"/>
        <item x="46"/>
        <item x="48"/>
        <item x="6"/>
        <item x="19"/>
        <item x="43"/>
        <item x="40"/>
        <item x="28"/>
        <item x="8"/>
        <item x="9"/>
        <item x="26"/>
        <item x="31"/>
        <item x="38"/>
        <item x="13"/>
        <item x="34"/>
        <item x="45"/>
        <item x="10"/>
        <item x="14"/>
        <item x="44"/>
        <item x="29"/>
        <item x="39"/>
        <item x="2"/>
        <item x="33"/>
        <item x="35"/>
        <item x="24"/>
        <item x="18"/>
        <item x="12"/>
        <item x="20"/>
        <item x="37"/>
        <item x="1"/>
        <item x="30"/>
        <item x="25"/>
        <item x="7"/>
        <item x="17"/>
        <item x="11"/>
        <item x="5"/>
        <item x="3"/>
        <item x="47"/>
        <item t="default"/>
      </items>
    </pivotField>
    <pivotField compact="0" showAll="0">
      <items count="31">
        <item x="17"/>
        <item x="26"/>
        <item x="28"/>
        <item x="20"/>
        <item x="21"/>
        <item x="6"/>
        <item x="16"/>
        <item x="19"/>
        <item x="22"/>
        <item x="23"/>
        <item x="9"/>
        <item x="25"/>
        <item x="24"/>
        <item x="18"/>
        <item x="15"/>
        <item x="14"/>
        <item x="12"/>
        <item x="4"/>
        <item x="8"/>
        <item x="13"/>
        <item x="10"/>
        <item x="27"/>
        <item x="3"/>
        <item x="29"/>
        <item x="5"/>
        <item x="1"/>
        <item x="2"/>
        <item x="7"/>
        <item x="11"/>
        <item x="0"/>
        <item t="default"/>
      </items>
    </pivotField>
    <pivotField compact="0" showAll="0">
      <items count="22">
        <item x="20"/>
        <item x="3"/>
        <item x="4"/>
        <item x="2"/>
        <item x="10"/>
        <item x="14"/>
        <item x="7"/>
        <item x="12"/>
        <item x="15"/>
        <item x="17"/>
        <item x="18"/>
        <item x="5"/>
        <item x="0"/>
        <item x="16"/>
        <item x="8"/>
        <item x="13"/>
        <item x="6"/>
        <item x="1"/>
        <item x="9"/>
        <item x="11"/>
        <item x="19"/>
        <item t="default"/>
      </items>
    </pivotField>
    <pivotField axis="axisRow" compact="0" sortType="descending" showAll="0">
      <items count="24">
        <item x="5"/>
        <item x="19"/>
        <item x="21"/>
        <item x="6"/>
        <item x="2"/>
        <item x="13"/>
        <item x="17"/>
        <item x="10"/>
        <item x="15"/>
        <item x="9"/>
        <item x="18"/>
        <item x="14"/>
        <item x="7"/>
        <item x="0"/>
        <item x="1"/>
        <item x="20"/>
        <item x="16"/>
        <item x="8"/>
        <item x="22"/>
        <item x="4"/>
        <item x="11"/>
        <item x="12"/>
        <item x="3"/>
        <item t="default"/>
      </items>
      <autoSortScope>
        <pivotArea fieldPosition="0">
          <references count="1">
            <reference field="4294967294" count="1" selected="0">
              <x v="0"/>
            </reference>
          </references>
        </pivotArea>
      </autoSortScope>
    </pivotField>
    <pivotField axis="axisPage" compact="0" multipleItemSelectionAllowed="1" showAll="0">
      <items count="3">
        <item x="1"/>
        <item x="0"/>
        <item t="default"/>
      </items>
    </pivotField>
    <pivotField axis="axisCol" compact="0" showAll="0">
      <items count="6">
        <item x="1"/>
        <item x="2"/>
        <item x="0"/>
        <item m="1" x="4"/>
        <item x="3"/>
        <item t="default"/>
      </items>
    </pivotField>
    <pivotField compact="0" showAll="0">
      <items count="4">
        <item x="2"/>
        <item x="0"/>
        <item x="1"/>
        <item t="default"/>
      </items>
    </pivotField>
    <pivotField compact="0" showAll="0"/>
    <pivotField compact="0" showAll="0"/>
  </pivotFields>
  <rowFields count="1">
    <field x="13"/>
  </rowFields>
  <rowItems count="24">
    <i>
      <x v="22"/>
    </i>
    <i>
      <x v="12"/>
    </i>
    <i>
      <x v="7"/>
    </i>
    <i>
      <x v="3"/>
    </i>
    <i>
      <x v="10"/>
    </i>
    <i>
      <x v="9"/>
    </i>
    <i>
      <x v="4"/>
    </i>
    <i>
      <x v="19"/>
    </i>
    <i>
      <x v="17"/>
    </i>
    <i>
      <x v="16"/>
    </i>
    <i>
      <x v="14"/>
    </i>
    <i>
      <x v="13"/>
    </i>
    <i>
      <x v="11"/>
    </i>
    <i>
      <x v="8"/>
    </i>
    <i>
      <x v="5"/>
    </i>
    <i>
      <x/>
    </i>
    <i>
      <x v="21"/>
    </i>
    <i>
      <x v="20"/>
    </i>
    <i>
      <x v="18"/>
    </i>
    <i>
      <x v="15"/>
    </i>
    <i>
      <x v="6"/>
    </i>
    <i>
      <x v="2"/>
    </i>
    <i>
      <x v="1"/>
    </i>
    <i t="grand">
      <x/>
    </i>
  </rowItems>
  <colFields count="1">
    <field x="15"/>
  </colFields>
  <colItems count="5">
    <i>
      <x/>
    </i>
    <i>
      <x v="1"/>
    </i>
    <i>
      <x v="2"/>
    </i>
    <i>
      <x v="4"/>
    </i>
    <i t="grand">
      <x/>
    </i>
  </colItems>
  <pageFields count="1">
    <pageField fld="14"/>
  </pageFields>
  <dataFields count="1">
    <dataField name="计数项:不合格次数" fld="9" subtotal="count" baseField="0" baseItem="0"/>
  </dataFields>
  <formats count="9">
    <format dxfId="0">
      <pivotArea type="all" dataOnly="0" outline="0" fieldPosition="0"/>
    </format>
    <format dxfId="1">
      <pivotArea collapsedLevelsAreSubtotals="1" fieldPosition="0"/>
    </format>
    <format dxfId="2">
      <pivotArea grandRow="1" collapsedLevelsAreSubtotals="1" fieldPosition="0"/>
    </format>
    <format dxfId="3">
      <pivotArea collapsedLevelsAreSubtotals="1" fieldPosition="0"/>
    </format>
    <format dxfId="4">
      <pivotArea grandRow="1" collapsedLevelsAreSubtotals="1" fieldPosition="0"/>
    </format>
    <format dxfId="5">
      <pivotArea collapsedLevelsAreSubtotals="1" fieldPosition="0"/>
    </format>
    <format dxfId="6">
      <pivotArea grandRow="1" collapsedLevelsAreSubtotals="1" fieldPosition="0"/>
    </format>
    <format dxfId="7">
      <pivotArea collapsedLevelsAreSubtotals="1" fieldPosition="0"/>
    </format>
    <format dxfId="8">
      <pivotArea grandRow="1"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23" firstHeaderRow="1" firstDataRow="1" firstDataCol="1"/>
  <pivotFields count="19">
    <pivotField axis="axisRow" compact="0" sortType="descending" multipleItemSelectionAllowed="1" showAll="0">
      <items count="49">
        <item h="1" x="47"/>
        <item x="42"/>
        <item x="3"/>
        <item x="46"/>
        <item x="5"/>
        <item x="8"/>
        <item x="39"/>
        <item x="35"/>
        <item x="16"/>
        <item x="24"/>
        <item x="0"/>
        <item x="41"/>
        <item x="9"/>
        <item x="43"/>
        <item x="18"/>
        <item x="26"/>
        <item x="27"/>
        <item x="31"/>
        <item x="34"/>
        <item x="25"/>
        <item h="1" x="29"/>
        <item h="1" x="14"/>
        <item h="1" x="28"/>
        <item h="1" x="45"/>
        <item h="1" x="6"/>
        <item h="1" x="15"/>
        <item h="1" x="32"/>
        <item h="1" x="36"/>
        <item h="1" x="38"/>
        <item h="1" x="4"/>
        <item h="1" x="40"/>
        <item h="1" x="11"/>
        <item h="1" x="33"/>
        <item h="1" x="22"/>
        <item h="1" x="37"/>
        <item h="1" x="12"/>
        <item h="1" x="20"/>
        <item h="1" x="21"/>
        <item h="1" x="19"/>
        <item h="1" x="1"/>
        <item h="1" x="17"/>
        <item h="1" x="30"/>
        <item h="1" x="10"/>
        <item h="1" x="44"/>
        <item h="1" x="23"/>
        <item h="1" x="13"/>
        <item h="1" x="7"/>
        <item h="1" x="2"/>
        <item t="default"/>
      </items>
      <autoSortScope>
        <pivotArea fieldPosition="0">
          <references count="1">
            <reference field="4294967294" count="1" selected="0">
              <x v="0"/>
            </reference>
          </references>
        </pivotArea>
      </autoSortScope>
    </pivotField>
    <pivotField compact="0" showAll="0">
      <items count="49">
        <item x="47"/>
        <item x="8"/>
        <item x="5"/>
        <item x="3"/>
        <item x="46"/>
        <item x="42"/>
        <item x="11"/>
        <item x="16"/>
        <item x="9"/>
        <item x="37"/>
        <item x="41"/>
        <item x="34"/>
        <item x="43"/>
        <item x="18"/>
        <item x="27"/>
        <item x="31"/>
        <item x="26"/>
        <item x="25"/>
        <item x="14"/>
        <item x="35"/>
        <item x="22"/>
        <item x="33"/>
        <item x="28"/>
        <item x="45"/>
        <item x="40"/>
        <item x="0"/>
        <item x="6"/>
        <item x="15"/>
        <item x="32"/>
        <item x="4"/>
        <item x="36"/>
        <item x="38"/>
        <item x="29"/>
        <item x="39"/>
        <item x="23"/>
        <item x="13"/>
        <item x="24"/>
        <item x="12"/>
        <item x="20"/>
        <item x="19"/>
        <item x="1"/>
        <item x="17"/>
        <item x="21"/>
        <item x="10"/>
        <item x="30"/>
        <item x="44"/>
        <item x="7"/>
        <item x="2"/>
        <item t="default"/>
      </items>
    </pivotField>
    <pivotField compact="0" showAll="0">
      <items count="48">
        <item x="4"/>
        <item x="42"/>
        <item x="7"/>
        <item x="8"/>
        <item x="25"/>
        <item x="34"/>
        <item x="13"/>
        <item x="0"/>
        <item x="37"/>
        <item x="2"/>
        <item x="24"/>
        <item x="17"/>
        <item x="1"/>
        <item x="18"/>
        <item x="16"/>
        <item x="33"/>
        <item x="23"/>
        <item x="26"/>
        <item x="11"/>
        <item x="10"/>
        <item x="27"/>
        <item x="38"/>
        <item x="3"/>
        <item x="5"/>
        <item x="32"/>
        <item x="35"/>
        <item x="21"/>
        <item x="36"/>
        <item x="40"/>
        <item x="15"/>
        <item x="12"/>
        <item x="41"/>
        <item x="6"/>
        <item x="14"/>
        <item x="30"/>
        <item x="45"/>
        <item x="43"/>
        <item x="29"/>
        <item x="46"/>
        <item x="31"/>
        <item x="20"/>
        <item x="9"/>
        <item x="39"/>
        <item x="22"/>
        <item x="28"/>
        <item x="19"/>
        <item x="44"/>
        <item t="default"/>
      </items>
    </pivotField>
    <pivotField compact="0" showAll="0">
      <items count="48">
        <item x="7"/>
        <item x="10"/>
        <item x="31"/>
        <item x="41"/>
        <item x="33"/>
        <item x="8"/>
        <item x="36"/>
        <item x="40"/>
        <item x="37"/>
        <item x="2"/>
        <item x="6"/>
        <item x="42"/>
        <item x="17"/>
        <item x="24"/>
        <item x="25"/>
        <item x="13"/>
        <item x="26"/>
        <item x="30"/>
        <item x="34"/>
        <item x="21"/>
        <item x="27"/>
        <item x="12"/>
        <item x="18"/>
        <item x="1"/>
        <item x="14"/>
        <item x="44"/>
        <item x="43"/>
        <item x="29"/>
        <item x="39"/>
        <item x="19"/>
        <item x="32"/>
        <item x="35"/>
        <item x="45"/>
        <item x="9"/>
        <item x="0"/>
        <item x="5"/>
        <item x="38"/>
        <item x="22"/>
        <item x="28"/>
        <item x="23"/>
        <item x="11"/>
        <item x="46"/>
        <item x="15"/>
        <item x="16"/>
        <item x="3"/>
        <item x="20"/>
        <item x="4"/>
        <item t="default"/>
      </items>
    </pivotField>
    <pivotField compact="0" showAll="0">
      <items count="47">
        <item x="2"/>
        <item x="35"/>
        <item x="25"/>
        <item x="41"/>
        <item x="42"/>
        <item x="37"/>
        <item x="10"/>
        <item x="7"/>
        <item x="45"/>
        <item x="20"/>
        <item x="3"/>
        <item x="22"/>
        <item x="6"/>
        <item x="43"/>
        <item x="44"/>
        <item x="18"/>
        <item x="28"/>
        <item x="38"/>
        <item x="14"/>
        <item x="21"/>
        <item x="26"/>
        <item x="12"/>
        <item x="4"/>
        <item x="29"/>
        <item x="9"/>
        <item x="15"/>
        <item x="40"/>
        <item x="11"/>
        <item x="17"/>
        <item x="16"/>
        <item x="0"/>
        <item x="24"/>
        <item x="36"/>
        <item x="19"/>
        <item x="1"/>
        <item x="33"/>
        <item x="39"/>
        <item x="27"/>
        <item x="8"/>
        <item x="32"/>
        <item x="13"/>
        <item x="30"/>
        <item x="34"/>
        <item x="5"/>
        <item x="31"/>
        <item x="23"/>
        <item t="default"/>
      </items>
    </pivotField>
    <pivotField compact="0" showAll="0">
      <items count="39">
        <item x="9"/>
        <item x="2"/>
        <item x="17"/>
        <item x="14"/>
        <item x="24"/>
        <item x="36"/>
        <item x="8"/>
        <item x="23"/>
        <item x="34"/>
        <item x="15"/>
        <item x="18"/>
        <item x="30"/>
        <item x="5"/>
        <item x="19"/>
        <item x="1"/>
        <item x="28"/>
        <item x="33"/>
        <item x="32"/>
        <item x="22"/>
        <item x="6"/>
        <item x="16"/>
        <item x="4"/>
        <item x="26"/>
        <item x="27"/>
        <item x="13"/>
        <item x="29"/>
        <item x="35"/>
        <item x="11"/>
        <item x="25"/>
        <item x="10"/>
        <item x="3"/>
        <item x="7"/>
        <item x="20"/>
        <item x="31"/>
        <item x="37"/>
        <item x="21"/>
        <item x="0"/>
        <item x="12"/>
        <item t="default"/>
      </items>
    </pivotField>
    <pivotField compact="0" showAll="0">
      <items count="33">
        <item x="0"/>
        <item x="20"/>
        <item x="3"/>
        <item x="11"/>
        <item x="5"/>
        <item x="6"/>
        <item x="28"/>
        <item x="27"/>
        <item x="26"/>
        <item x="14"/>
        <item x="19"/>
        <item x="25"/>
        <item x="4"/>
        <item x="23"/>
        <item x="18"/>
        <item x="21"/>
        <item x="24"/>
        <item x="17"/>
        <item x="9"/>
        <item x="13"/>
        <item x="8"/>
        <item x="10"/>
        <item x="12"/>
        <item x="7"/>
        <item x="1"/>
        <item x="30"/>
        <item x="16"/>
        <item x="22"/>
        <item x="31"/>
        <item x="29"/>
        <item x="2"/>
        <item x="15"/>
        <item t="default"/>
      </items>
    </pivotField>
    <pivotField compact="0" numFmtId="176"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9">
        <item x="0"/>
        <item x="15"/>
        <item x="13"/>
        <item x="9"/>
        <item x="12"/>
        <item x="8"/>
        <item x="7"/>
        <item x="11"/>
        <item x="1"/>
        <item x="4"/>
        <item x="10"/>
        <item x="5"/>
        <item x="2"/>
        <item x="3"/>
        <item x="6"/>
        <item x="16"/>
        <item x="14"/>
        <item x="17"/>
        <item t="default"/>
      </items>
    </pivotField>
    <pivotField dataField="1" compact="0" showAll="0">
      <items count="29">
        <item x="10"/>
        <item x="14"/>
        <item x="8"/>
        <item x="12"/>
        <item x="7"/>
        <item x="17"/>
        <item x="21"/>
        <item x="16"/>
        <item x="27"/>
        <item x="6"/>
        <item x="2"/>
        <item x="11"/>
        <item x="20"/>
        <item x="9"/>
        <item x="25"/>
        <item x="19"/>
        <item x="22"/>
        <item x="23"/>
        <item x="13"/>
        <item x="0"/>
        <item x="15"/>
        <item x="3"/>
        <item x="4"/>
        <item x="1"/>
        <item x="18"/>
        <item x="5"/>
        <item x="26"/>
        <item x="24"/>
        <item t="default"/>
      </items>
    </pivotField>
    <pivotField compact="0" showAll="0">
      <items count="50">
        <item x="21"/>
        <item x="0"/>
        <item x="32"/>
        <item x="27"/>
        <item x="15"/>
        <item x="41"/>
        <item x="42"/>
        <item x="22"/>
        <item x="36"/>
        <item x="4"/>
        <item x="16"/>
        <item x="23"/>
        <item x="46"/>
        <item x="48"/>
        <item x="6"/>
        <item x="19"/>
        <item x="43"/>
        <item x="40"/>
        <item x="28"/>
        <item x="8"/>
        <item x="9"/>
        <item x="26"/>
        <item x="31"/>
        <item x="38"/>
        <item x="13"/>
        <item x="34"/>
        <item x="45"/>
        <item x="10"/>
        <item x="14"/>
        <item x="44"/>
        <item x="29"/>
        <item x="39"/>
        <item x="2"/>
        <item x="33"/>
        <item x="35"/>
        <item x="24"/>
        <item x="18"/>
        <item x="12"/>
        <item x="20"/>
        <item x="37"/>
        <item x="1"/>
        <item x="30"/>
        <item x="25"/>
        <item x="7"/>
        <item x="17"/>
        <item x="11"/>
        <item x="5"/>
        <item x="3"/>
        <item x="47"/>
        <item t="default"/>
      </items>
    </pivotField>
    <pivotField compact="0" showAll="0">
      <items count="31">
        <item x="17"/>
        <item x="26"/>
        <item x="28"/>
        <item x="20"/>
        <item x="21"/>
        <item x="6"/>
        <item x="16"/>
        <item x="19"/>
        <item x="22"/>
        <item x="23"/>
        <item x="9"/>
        <item x="25"/>
        <item x="24"/>
        <item x="18"/>
        <item x="15"/>
        <item x="14"/>
        <item x="12"/>
        <item x="4"/>
        <item x="8"/>
        <item x="13"/>
        <item x="10"/>
        <item x="27"/>
        <item x="3"/>
        <item x="29"/>
        <item x="5"/>
        <item x="1"/>
        <item x="2"/>
        <item x="7"/>
        <item x="11"/>
        <item x="0"/>
        <item t="default"/>
      </items>
    </pivotField>
    <pivotField compact="0" showAll="0">
      <items count="22">
        <item x="20"/>
        <item x="3"/>
        <item x="4"/>
        <item x="2"/>
        <item x="10"/>
        <item x="14"/>
        <item x="7"/>
        <item x="12"/>
        <item x="15"/>
        <item x="17"/>
        <item x="18"/>
        <item x="5"/>
        <item x="0"/>
        <item x="16"/>
        <item x="8"/>
        <item x="13"/>
        <item x="6"/>
        <item x="1"/>
        <item x="9"/>
        <item x="11"/>
        <item x="19"/>
        <item t="default"/>
      </items>
    </pivotField>
    <pivotField compact="0" showAll="0">
      <items count="24">
        <item x="5"/>
        <item x="19"/>
        <item x="21"/>
        <item x="6"/>
        <item x="2"/>
        <item x="13"/>
        <item x="17"/>
        <item x="10"/>
        <item x="15"/>
        <item x="9"/>
        <item x="18"/>
        <item x="14"/>
        <item x="7"/>
        <item x="0"/>
        <item x="1"/>
        <item x="20"/>
        <item x="16"/>
        <item x="8"/>
        <item x="22"/>
        <item x="4"/>
        <item x="11"/>
        <item x="12"/>
        <item x="3"/>
        <item t="default"/>
      </items>
    </pivotField>
    <pivotField compact="0" showAll="0">
      <items count="3">
        <item x="1"/>
        <item x="0"/>
        <item t="default"/>
      </items>
    </pivotField>
    <pivotField compact="0" showAll="0">
      <items count="6">
        <item x="1"/>
        <item x="2"/>
        <item x="0"/>
        <item m="1" x="4"/>
        <item x="3"/>
        <item t="default"/>
      </items>
    </pivotField>
    <pivotField compact="0" showAll="0">
      <items count="4">
        <item x="2"/>
        <item x="0"/>
        <item x="1"/>
        <item t="default"/>
      </items>
    </pivotField>
    <pivotField compact="0" showAll="0"/>
    <pivotField compact="0" showAll="0"/>
  </pivotFields>
  <rowFields count="1">
    <field x="0"/>
  </rowFields>
  <rowItems count="20">
    <i>
      <x v="2"/>
    </i>
    <i>
      <x v="19"/>
    </i>
    <i>
      <x v="18"/>
    </i>
    <i>
      <x v="17"/>
    </i>
    <i>
      <x v="16"/>
    </i>
    <i>
      <x v="15"/>
    </i>
    <i>
      <x v="14"/>
    </i>
    <i>
      <x v="13"/>
    </i>
    <i>
      <x v="12"/>
    </i>
    <i>
      <x v="11"/>
    </i>
    <i>
      <x v="10"/>
    </i>
    <i>
      <x v="9"/>
    </i>
    <i>
      <x v="8"/>
    </i>
    <i>
      <x v="7"/>
    </i>
    <i>
      <x v="6"/>
    </i>
    <i>
      <x v="5"/>
    </i>
    <i>
      <x v="4"/>
    </i>
    <i>
      <x v="3"/>
    </i>
    <i>
      <x v="1"/>
    </i>
    <i t="grand">
      <x/>
    </i>
  </rowItems>
  <colItems count="1">
    <i/>
  </colItems>
  <dataFields count="1">
    <dataField name="计数项:不合格次数"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E12" firstHeaderRow="1" firstDataRow="2" firstDataCol="1" rowPageCount="2" colPageCount="1"/>
  <pivotFields count="19">
    <pivotField compact="0" showAll="0">
      <items count="49">
        <item x="47"/>
        <item x="42"/>
        <item x="3"/>
        <item x="46"/>
        <item x="5"/>
        <item x="8"/>
        <item x="39"/>
        <item x="35"/>
        <item x="16"/>
        <item x="24"/>
        <item x="0"/>
        <item x="41"/>
        <item x="9"/>
        <item x="43"/>
        <item x="18"/>
        <item x="26"/>
        <item x="27"/>
        <item x="31"/>
        <item x="34"/>
        <item x="25"/>
        <item x="29"/>
        <item x="14"/>
        <item x="28"/>
        <item x="45"/>
        <item x="6"/>
        <item x="15"/>
        <item x="32"/>
        <item x="36"/>
        <item x="38"/>
        <item x="4"/>
        <item x="40"/>
        <item x="11"/>
        <item x="33"/>
        <item x="22"/>
        <item x="37"/>
        <item x="12"/>
        <item x="20"/>
        <item x="21"/>
        <item x="19"/>
        <item x="1"/>
        <item x="17"/>
        <item x="30"/>
        <item x="10"/>
        <item x="44"/>
        <item x="23"/>
        <item x="13"/>
        <item x="7"/>
        <item x="2"/>
        <item t="default"/>
      </items>
    </pivotField>
    <pivotField compact="0" showAll="0"/>
    <pivotField compact="0" showAll="0"/>
    <pivotField compact="0" showAll="0"/>
    <pivotField compact="0" showAll="0"/>
    <pivotField compact="0" showAll="0"/>
    <pivotField compact="0" showAll="0"/>
    <pivotField compact="0" numFmtId="176" showAll="0"/>
    <pivotField compact="0" showAll="0"/>
    <pivotField dataField="1" compact="0" showAll="0">
      <items count="29">
        <item x="10"/>
        <item x="14"/>
        <item x="8"/>
        <item x="12"/>
        <item x="7"/>
        <item x="17"/>
        <item x="21"/>
        <item x="16"/>
        <item x="27"/>
        <item x="6"/>
        <item x="2"/>
        <item x="11"/>
        <item x="20"/>
        <item x="9"/>
        <item x="25"/>
        <item x="19"/>
        <item x="22"/>
        <item x="23"/>
        <item x="13"/>
        <item x="0"/>
        <item x="15"/>
        <item x="3"/>
        <item x="4"/>
        <item x="1"/>
        <item x="18"/>
        <item x="5"/>
        <item x="26"/>
        <item x="24"/>
        <item t="default"/>
      </items>
    </pivotField>
    <pivotField compact="0" showAll="0"/>
    <pivotField compact="0" showAll="0"/>
    <pivotField compact="0" showAll="0"/>
    <pivotField axis="axisRow" compact="0" sortType="descending" showAll="0">
      <items count="24">
        <item x="5"/>
        <item x="19"/>
        <item x="21"/>
        <item x="6"/>
        <item x="2"/>
        <item x="13"/>
        <item x="17"/>
        <item x="10"/>
        <item x="15"/>
        <item x="9"/>
        <item x="18"/>
        <item x="14"/>
        <item x="7"/>
        <item x="0"/>
        <item x="1"/>
        <item x="20"/>
        <item x="16"/>
        <item x="8"/>
        <item x="22"/>
        <item x="4"/>
        <item x="11"/>
        <item x="12"/>
        <item x="3"/>
        <item t="default"/>
      </items>
      <autoSortScope>
        <pivotArea fieldPosition="0">
          <references count="1">
            <reference field="4294967294" count="1" selected="0">
              <x v="0"/>
            </reference>
          </references>
        </pivotArea>
      </autoSortScope>
    </pivotField>
    <pivotField axis="axisPage" compact="0" multipleItemSelectionAllowed="1" showAll="0">
      <items count="3">
        <item x="1"/>
        <item x="0"/>
        <item t="default"/>
      </items>
    </pivotField>
    <pivotField axis="axisCol" compact="0" showAll="0">
      <items count="6">
        <item x="1"/>
        <item x="2"/>
        <item x="0"/>
        <item m="1" x="4"/>
        <item x="3"/>
        <item t="default"/>
      </items>
    </pivotField>
    <pivotField axis="axisPage" compact="0" multipleItemSelectionAllowed="1" showAll="0">
      <items count="4">
        <item h="1" x="2"/>
        <item h="1" x="0"/>
        <item x="1"/>
        <item t="default"/>
      </items>
    </pivotField>
    <pivotField compact="0" showAll="0"/>
    <pivotField compact="0" showAll="0"/>
  </pivotFields>
  <rowFields count="1">
    <field x="13"/>
  </rowFields>
  <rowItems count="7">
    <i>
      <x v="7"/>
    </i>
    <i>
      <x v="3"/>
    </i>
    <i>
      <x v="16"/>
    </i>
    <i>
      <x v="14"/>
    </i>
    <i>
      <x v="21"/>
    </i>
    <i>
      <x v="6"/>
    </i>
    <i t="grand">
      <x/>
    </i>
  </rowItems>
  <colFields count="1">
    <field x="15"/>
  </colFields>
  <colItems count="4">
    <i>
      <x/>
    </i>
    <i>
      <x v="2"/>
    </i>
    <i>
      <x v="4"/>
    </i>
    <i t="grand">
      <x/>
    </i>
  </colItems>
  <pageFields count="2">
    <pageField fld="16"/>
    <pageField fld="14"/>
  </pageFields>
  <dataFields count="1">
    <dataField name="计数项:不合格项目" fld="9" subtotal="count" baseField="0" baseItem="0"/>
  </dataFields>
  <formats count="1">
    <format dxfId="9">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7:C13" firstHeaderRow="1" firstDataRow="1" firstDataCol="1"/>
  <pivotFields count="19">
    <pivotField compact="0" showAll="0">
      <items count="49">
        <item x="47"/>
        <item x="42"/>
        <item x="3"/>
        <item x="46"/>
        <item x="5"/>
        <item x="8"/>
        <item x="39"/>
        <item x="35"/>
        <item x="16"/>
        <item x="24"/>
        <item x="0"/>
        <item x="41"/>
        <item x="9"/>
        <item x="43"/>
        <item x="18"/>
        <item x="26"/>
        <item x="27"/>
        <item x="31"/>
        <item x="34"/>
        <item x="25"/>
        <item x="29"/>
        <item x="14"/>
        <item x="28"/>
        <item x="45"/>
        <item x="6"/>
        <item x="15"/>
        <item x="32"/>
        <item x="36"/>
        <item x="38"/>
        <item x="4"/>
        <item x="40"/>
        <item x="11"/>
        <item x="33"/>
        <item x="22"/>
        <item x="37"/>
        <item x="12"/>
        <item x="20"/>
        <item x="21"/>
        <item x="19"/>
        <item x="1"/>
        <item x="17"/>
        <item x="30"/>
        <item x="10"/>
        <item x="44"/>
        <item x="23"/>
        <item x="13"/>
        <item x="7"/>
        <item x="2"/>
        <item t="default"/>
      </items>
    </pivotField>
    <pivotField compact="0" showAll="0">
      <items count="49">
        <item x="47"/>
        <item x="8"/>
        <item x="5"/>
        <item x="3"/>
        <item x="46"/>
        <item x="42"/>
        <item x="11"/>
        <item x="16"/>
        <item x="9"/>
        <item x="37"/>
        <item x="41"/>
        <item x="34"/>
        <item x="43"/>
        <item x="18"/>
        <item x="27"/>
        <item x="31"/>
        <item x="26"/>
        <item x="25"/>
        <item x="14"/>
        <item x="35"/>
        <item x="22"/>
        <item x="33"/>
        <item x="28"/>
        <item x="45"/>
        <item x="40"/>
        <item x="0"/>
        <item x="6"/>
        <item x="15"/>
        <item x="32"/>
        <item x="4"/>
        <item x="36"/>
        <item x="38"/>
        <item x="29"/>
        <item x="39"/>
        <item x="23"/>
        <item x="13"/>
        <item x="24"/>
        <item x="12"/>
        <item x="20"/>
        <item x="19"/>
        <item x="1"/>
        <item x="17"/>
        <item x="21"/>
        <item x="10"/>
        <item x="30"/>
        <item x="44"/>
        <item x="7"/>
        <item x="2"/>
        <item t="default"/>
      </items>
    </pivotField>
    <pivotField compact="0" showAll="0">
      <items count="48">
        <item x="4"/>
        <item x="42"/>
        <item x="7"/>
        <item x="8"/>
        <item x="25"/>
        <item x="34"/>
        <item x="13"/>
        <item x="0"/>
        <item x="37"/>
        <item x="2"/>
        <item x="24"/>
        <item x="17"/>
        <item x="1"/>
        <item x="18"/>
        <item x="16"/>
        <item x="33"/>
        <item x="23"/>
        <item x="26"/>
        <item x="11"/>
        <item x="10"/>
        <item x="27"/>
        <item x="38"/>
        <item x="3"/>
        <item x="5"/>
        <item x="32"/>
        <item x="35"/>
        <item x="21"/>
        <item x="36"/>
        <item x="40"/>
        <item x="15"/>
        <item x="12"/>
        <item x="41"/>
        <item x="6"/>
        <item x="14"/>
        <item x="30"/>
        <item x="45"/>
        <item x="43"/>
        <item x="29"/>
        <item x="46"/>
        <item x="31"/>
        <item x="20"/>
        <item x="9"/>
        <item x="39"/>
        <item x="22"/>
        <item x="28"/>
        <item x="19"/>
        <item x="44"/>
        <item t="default"/>
      </items>
    </pivotField>
    <pivotField compact="0" showAll="0">
      <items count="48">
        <item x="7"/>
        <item x="10"/>
        <item x="31"/>
        <item x="41"/>
        <item x="33"/>
        <item x="8"/>
        <item x="36"/>
        <item x="40"/>
        <item x="37"/>
        <item x="2"/>
        <item x="6"/>
        <item x="42"/>
        <item x="17"/>
        <item x="24"/>
        <item x="25"/>
        <item x="13"/>
        <item x="26"/>
        <item x="30"/>
        <item x="34"/>
        <item x="21"/>
        <item x="27"/>
        <item x="12"/>
        <item x="18"/>
        <item x="1"/>
        <item x="14"/>
        <item x="44"/>
        <item x="43"/>
        <item x="29"/>
        <item x="39"/>
        <item x="19"/>
        <item x="32"/>
        <item x="35"/>
        <item x="45"/>
        <item x="9"/>
        <item x="0"/>
        <item x="5"/>
        <item x="38"/>
        <item x="22"/>
        <item x="28"/>
        <item x="23"/>
        <item x="11"/>
        <item x="46"/>
        <item x="15"/>
        <item x="16"/>
        <item x="3"/>
        <item x="20"/>
        <item x="4"/>
        <item t="default"/>
      </items>
    </pivotField>
    <pivotField compact="0" showAll="0">
      <items count="47">
        <item x="2"/>
        <item x="35"/>
        <item x="25"/>
        <item x="41"/>
        <item x="42"/>
        <item x="37"/>
        <item x="10"/>
        <item x="7"/>
        <item x="45"/>
        <item x="20"/>
        <item x="3"/>
        <item x="22"/>
        <item x="6"/>
        <item x="43"/>
        <item x="44"/>
        <item x="18"/>
        <item x="28"/>
        <item x="38"/>
        <item x="14"/>
        <item x="21"/>
        <item x="26"/>
        <item x="12"/>
        <item x="4"/>
        <item x="29"/>
        <item x="9"/>
        <item x="15"/>
        <item x="40"/>
        <item x="11"/>
        <item x="17"/>
        <item x="16"/>
        <item x="0"/>
        <item x="24"/>
        <item x="36"/>
        <item x="19"/>
        <item x="1"/>
        <item x="33"/>
        <item x="39"/>
        <item x="27"/>
        <item x="8"/>
        <item x="32"/>
        <item x="13"/>
        <item x="30"/>
        <item x="34"/>
        <item x="5"/>
        <item x="31"/>
        <item x="23"/>
        <item t="default"/>
      </items>
    </pivotField>
    <pivotField compact="0" showAll="0">
      <items count="39">
        <item x="9"/>
        <item x="2"/>
        <item x="17"/>
        <item x="14"/>
        <item x="24"/>
        <item x="36"/>
        <item x="8"/>
        <item x="23"/>
        <item x="34"/>
        <item x="15"/>
        <item x="18"/>
        <item x="30"/>
        <item x="5"/>
        <item x="19"/>
        <item x="1"/>
        <item x="28"/>
        <item x="33"/>
        <item x="32"/>
        <item x="22"/>
        <item x="6"/>
        <item x="16"/>
        <item x="4"/>
        <item x="26"/>
        <item x="27"/>
        <item x="13"/>
        <item x="29"/>
        <item x="35"/>
        <item x="11"/>
        <item x="25"/>
        <item x="10"/>
        <item x="3"/>
        <item x="7"/>
        <item x="20"/>
        <item x="31"/>
        <item x="37"/>
        <item x="21"/>
        <item x="0"/>
        <item x="12"/>
        <item t="default"/>
      </items>
    </pivotField>
    <pivotField compact="0" showAll="0">
      <items count="33">
        <item x="0"/>
        <item x="20"/>
        <item x="3"/>
        <item x="11"/>
        <item x="5"/>
        <item x="6"/>
        <item x="28"/>
        <item x="27"/>
        <item x="26"/>
        <item x="14"/>
        <item x="19"/>
        <item x="25"/>
        <item x="4"/>
        <item x="23"/>
        <item x="18"/>
        <item x="21"/>
        <item x="24"/>
        <item x="17"/>
        <item x="9"/>
        <item x="13"/>
        <item x="8"/>
        <item x="10"/>
        <item x="12"/>
        <item x="7"/>
        <item x="1"/>
        <item x="30"/>
        <item x="16"/>
        <item x="22"/>
        <item x="31"/>
        <item x="29"/>
        <item x="2"/>
        <item x="15"/>
        <item t="default"/>
      </items>
    </pivotField>
    <pivotField compact="0" numFmtId="176"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9">
        <item x="0"/>
        <item x="15"/>
        <item x="13"/>
        <item x="9"/>
        <item x="12"/>
        <item x="8"/>
        <item x="7"/>
        <item x="11"/>
        <item x="1"/>
        <item x="4"/>
        <item x="10"/>
        <item x="5"/>
        <item x="2"/>
        <item x="3"/>
        <item x="6"/>
        <item x="16"/>
        <item x="14"/>
        <item x="17"/>
        <item t="default"/>
      </items>
    </pivotField>
    <pivotField axis="axisRow" dataField="1" compact="0" sortType="descending" multipleItemSelectionAllowed="1" showAll="0">
      <items count="29">
        <item h="1" x="10"/>
        <item h="1" x="14"/>
        <item h="1" x="8"/>
        <item h="1" x="12"/>
        <item h="1" x="7"/>
        <item h="1" x="17"/>
        <item h="1" x="21"/>
        <item x="16"/>
        <item h="1" x="27"/>
        <item h="1" x="6"/>
        <item h="1" x="2"/>
        <item h="1" x="11"/>
        <item x="20"/>
        <item x="9"/>
        <item h="1" x="25"/>
        <item h="1" x="19"/>
        <item h="1" x="22"/>
        <item h="1" x="23"/>
        <item h="1" x="13"/>
        <item h="1" x="0"/>
        <item x="15"/>
        <item h="1" x="3"/>
        <item h="1" x="4"/>
        <item h="1" x="1"/>
        <item h="1" x="18"/>
        <item h="1" x="5"/>
        <item x="26"/>
        <item h="1" x="24"/>
        <item t="default"/>
      </items>
      <autoSortScope>
        <pivotArea fieldPosition="0">
          <references count="1">
            <reference field="4294967294" count="1" selected="0">
              <x v="0"/>
            </reference>
          </references>
        </pivotArea>
      </autoSortScope>
    </pivotField>
    <pivotField compact="0" showAll="0">
      <items count="50">
        <item x="21"/>
        <item x="0"/>
        <item x="32"/>
        <item x="27"/>
        <item x="15"/>
        <item x="41"/>
        <item x="42"/>
        <item x="22"/>
        <item x="36"/>
        <item x="4"/>
        <item x="16"/>
        <item x="23"/>
        <item x="46"/>
        <item x="48"/>
        <item x="6"/>
        <item x="19"/>
        <item x="43"/>
        <item x="40"/>
        <item x="28"/>
        <item x="8"/>
        <item x="9"/>
        <item x="26"/>
        <item x="31"/>
        <item x="38"/>
        <item x="13"/>
        <item x="34"/>
        <item x="45"/>
        <item x="10"/>
        <item x="14"/>
        <item x="44"/>
        <item x="29"/>
        <item x="39"/>
        <item x="2"/>
        <item x="33"/>
        <item x="35"/>
        <item x="24"/>
        <item x="18"/>
        <item x="12"/>
        <item x="20"/>
        <item x="37"/>
        <item x="1"/>
        <item x="30"/>
        <item x="25"/>
        <item x="7"/>
        <item x="17"/>
        <item x="11"/>
        <item x="5"/>
        <item x="3"/>
        <item x="47"/>
        <item t="default"/>
      </items>
    </pivotField>
    <pivotField compact="0" showAll="0">
      <items count="31">
        <item x="17"/>
        <item x="26"/>
        <item x="28"/>
        <item x="20"/>
        <item x="21"/>
        <item x="6"/>
        <item x="16"/>
        <item x="19"/>
        <item x="22"/>
        <item x="23"/>
        <item x="9"/>
        <item x="25"/>
        <item x="24"/>
        <item x="18"/>
        <item x="15"/>
        <item x="14"/>
        <item x="12"/>
        <item x="4"/>
        <item x="8"/>
        <item x="13"/>
        <item x="10"/>
        <item x="27"/>
        <item x="3"/>
        <item x="29"/>
        <item x="5"/>
        <item x="1"/>
        <item x="2"/>
        <item x="7"/>
        <item x="11"/>
        <item x="0"/>
        <item t="default"/>
      </items>
    </pivotField>
    <pivotField compact="0" showAll="0">
      <items count="22">
        <item x="20"/>
        <item x="3"/>
        <item x="4"/>
        <item x="2"/>
        <item x="10"/>
        <item x="14"/>
        <item x="7"/>
        <item x="12"/>
        <item x="15"/>
        <item x="17"/>
        <item x="18"/>
        <item x="5"/>
        <item x="0"/>
        <item x="16"/>
        <item x="8"/>
        <item x="13"/>
        <item x="6"/>
        <item x="1"/>
        <item x="9"/>
        <item x="11"/>
        <item x="19"/>
        <item t="default"/>
      </items>
    </pivotField>
    <pivotField compact="0" showAll="0">
      <items count="24">
        <item x="5"/>
        <item x="19"/>
        <item x="21"/>
        <item x="6"/>
        <item x="2"/>
        <item x="13"/>
        <item x="17"/>
        <item x="10"/>
        <item x="15"/>
        <item x="9"/>
        <item x="18"/>
        <item x="14"/>
        <item x="7"/>
        <item x="0"/>
        <item x="1"/>
        <item x="20"/>
        <item x="16"/>
        <item x="8"/>
        <item x="22"/>
        <item x="4"/>
        <item x="11"/>
        <item x="12"/>
        <item x="3"/>
        <item t="default"/>
      </items>
    </pivotField>
    <pivotField compact="0" showAll="0">
      <items count="3">
        <item x="1"/>
        <item x="0"/>
        <item t="default"/>
      </items>
    </pivotField>
    <pivotField compact="0" showAll="0">
      <items count="6">
        <item x="1"/>
        <item x="2"/>
        <item x="0"/>
        <item m="1" x="4"/>
        <item x="3"/>
        <item t="default"/>
      </items>
    </pivotField>
    <pivotField compact="0" multipleItemSelectionAllowed="1" showAll="0">
      <items count="4">
        <item x="2"/>
        <item x="0"/>
        <item x="1"/>
        <item t="default"/>
      </items>
    </pivotField>
    <pivotField compact="0" showAll="0"/>
    <pivotField compact="0" showAll="0"/>
  </pivotFields>
  <rowFields count="1">
    <field x="9"/>
  </rowFields>
  <rowItems count="6">
    <i>
      <x v="7"/>
    </i>
    <i>
      <x v="13"/>
    </i>
    <i>
      <x v="12"/>
    </i>
    <i>
      <x v="20"/>
    </i>
    <i>
      <x v="26"/>
    </i>
    <i t="grand">
      <x/>
    </i>
  </rowItems>
  <colItems count="1">
    <i/>
  </colItems>
  <dataFields count="1">
    <dataField name="计数项:不合格次数" fld="9" subtotal="count" baseField="0" baseItem="0"/>
  </dataFields>
  <formats count="4">
    <format dxfId="10">
      <pivotArea type="all" dataOnly="0" outline="0" fieldPosition="0"/>
    </format>
    <format dxfId="11">
      <pivotArea type="all" dataOnly="0" outline="0" fieldPosition="0"/>
    </format>
    <format dxfId="12">
      <pivotArea type="all" dataOnly="0" outline="0" fieldPosition="0"/>
    </format>
    <format dxfId="13">
      <pivotArea type="all" dataOnly="0"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3:B8" firstHeaderRow="1" firstDataRow="1" firstDataCol="1"/>
  <pivotFields count="19">
    <pivotField compact="0" showAll="0">
      <items count="49">
        <item x="47"/>
        <item x="42"/>
        <item x="3"/>
        <item x="46"/>
        <item x="5"/>
        <item x="8"/>
        <item x="39"/>
        <item x="35"/>
        <item x="16"/>
        <item x="24"/>
        <item x="0"/>
        <item x="41"/>
        <item x="9"/>
        <item x="43"/>
        <item x="18"/>
        <item x="26"/>
        <item x="27"/>
        <item x="31"/>
        <item x="34"/>
        <item x="25"/>
        <item x="29"/>
        <item x="14"/>
        <item x="28"/>
        <item x="45"/>
        <item x="6"/>
        <item x="15"/>
        <item x="32"/>
        <item x="36"/>
        <item x="38"/>
        <item x="4"/>
        <item x="40"/>
        <item x="11"/>
        <item x="33"/>
        <item x="22"/>
        <item x="37"/>
        <item x="12"/>
        <item x="20"/>
        <item x="21"/>
        <item x="19"/>
        <item x="1"/>
        <item x="17"/>
        <item x="30"/>
        <item x="10"/>
        <item x="44"/>
        <item x="23"/>
        <item x="13"/>
        <item x="7"/>
        <item x="2"/>
        <item t="default"/>
      </items>
    </pivotField>
    <pivotField compact="0" showAll="0">
      <items count="49">
        <item x="47"/>
        <item x="8"/>
        <item x="5"/>
        <item x="3"/>
        <item x="46"/>
        <item x="42"/>
        <item x="11"/>
        <item x="16"/>
        <item x="9"/>
        <item x="37"/>
        <item x="41"/>
        <item x="34"/>
        <item x="43"/>
        <item x="18"/>
        <item x="27"/>
        <item x="31"/>
        <item x="26"/>
        <item x="25"/>
        <item x="14"/>
        <item x="35"/>
        <item x="22"/>
        <item x="33"/>
        <item x="28"/>
        <item x="45"/>
        <item x="40"/>
        <item x="0"/>
        <item x="6"/>
        <item x="15"/>
        <item x="32"/>
        <item x="4"/>
        <item x="36"/>
        <item x="38"/>
        <item x="29"/>
        <item x="39"/>
        <item x="23"/>
        <item x="13"/>
        <item x="24"/>
        <item x="12"/>
        <item x="20"/>
        <item x="19"/>
        <item x="1"/>
        <item x="17"/>
        <item x="21"/>
        <item x="10"/>
        <item x="30"/>
        <item x="44"/>
        <item x="7"/>
        <item x="2"/>
        <item t="default"/>
      </items>
    </pivotField>
    <pivotField compact="0" showAll="0">
      <items count="48">
        <item x="4"/>
        <item x="42"/>
        <item x="7"/>
        <item x="8"/>
        <item x="25"/>
        <item x="34"/>
        <item x="13"/>
        <item x="0"/>
        <item x="37"/>
        <item x="2"/>
        <item x="24"/>
        <item x="17"/>
        <item x="1"/>
        <item x="18"/>
        <item x="16"/>
        <item x="33"/>
        <item x="23"/>
        <item x="26"/>
        <item x="11"/>
        <item x="10"/>
        <item x="27"/>
        <item x="38"/>
        <item x="3"/>
        <item x="5"/>
        <item x="32"/>
        <item x="35"/>
        <item x="21"/>
        <item x="36"/>
        <item x="40"/>
        <item x="15"/>
        <item x="12"/>
        <item x="41"/>
        <item x="6"/>
        <item x="14"/>
        <item x="30"/>
        <item x="45"/>
        <item x="43"/>
        <item x="29"/>
        <item x="46"/>
        <item x="31"/>
        <item x="20"/>
        <item x="9"/>
        <item x="39"/>
        <item x="22"/>
        <item x="28"/>
        <item x="19"/>
        <item x="44"/>
        <item t="default"/>
      </items>
    </pivotField>
    <pivotField compact="0" showAll="0">
      <items count="48">
        <item x="7"/>
        <item x="10"/>
        <item x="31"/>
        <item x="41"/>
        <item x="33"/>
        <item x="8"/>
        <item x="36"/>
        <item x="40"/>
        <item x="37"/>
        <item x="2"/>
        <item x="6"/>
        <item x="42"/>
        <item x="17"/>
        <item x="24"/>
        <item x="25"/>
        <item x="13"/>
        <item x="26"/>
        <item x="30"/>
        <item x="34"/>
        <item x="21"/>
        <item x="27"/>
        <item x="12"/>
        <item x="18"/>
        <item x="1"/>
        <item x="14"/>
        <item x="44"/>
        <item x="43"/>
        <item x="29"/>
        <item x="39"/>
        <item x="19"/>
        <item x="32"/>
        <item x="35"/>
        <item x="45"/>
        <item x="9"/>
        <item x="0"/>
        <item x="5"/>
        <item x="38"/>
        <item x="22"/>
        <item x="28"/>
        <item x="23"/>
        <item x="11"/>
        <item x="46"/>
        <item x="15"/>
        <item x="16"/>
        <item x="3"/>
        <item x="20"/>
        <item x="4"/>
        <item t="default"/>
      </items>
    </pivotField>
    <pivotField compact="0" showAll="0">
      <items count="47">
        <item x="2"/>
        <item x="35"/>
        <item x="25"/>
        <item x="41"/>
        <item x="42"/>
        <item x="37"/>
        <item x="10"/>
        <item x="7"/>
        <item x="45"/>
        <item x="20"/>
        <item x="3"/>
        <item x="22"/>
        <item x="6"/>
        <item x="43"/>
        <item x="44"/>
        <item x="18"/>
        <item x="28"/>
        <item x="38"/>
        <item x="14"/>
        <item x="21"/>
        <item x="26"/>
        <item x="12"/>
        <item x="4"/>
        <item x="29"/>
        <item x="9"/>
        <item x="15"/>
        <item x="40"/>
        <item x="11"/>
        <item x="17"/>
        <item x="16"/>
        <item x="0"/>
        <item x="24"/>
        <item x="36"/>
        <item x="19"/>
        <item x="1"/>
        <item x="33"/>
        <item x="39"/>
        <item x="27"/>
        <item x="8"/>
        <item x="32"/>
        <item x="13"/>
        <item x="30"/>
        <item x="34"/>
        <item x="5"/>
        <item x="31"/>
        <item x="23"/>
        <item t="default"/>
      </items>
    </pivotField>
    <pivotField compact="0" showAll="0">
      <items count="39">
        <item x="9"/>
        <item x="2"/>
        <item x="17"/>
        <item x="14"/>
        <item x="24"/>
        <item x="36"/>
        <item x="8"/>
        <item x="23"/>
        <item x="34"/>
        <item x="15"/>
        <item x="18"/>
        <item x="30"/>
        <item x="5"/>
        <item x="19"/>
        <item x="1"/>
        <item x="28"/>
        <item x="33"/>
        <item x="32"/>
        <item x="22"/>
        <item x="6"/>
        <item x="16"/>
        <item x="4"/>
        <item x="26"/>
        <item x="27"/>
        <item x="13"/>
        <item x="29"/>
        <item x="35"/>
        <item x="11"/>
        <item x="25"/>
        <item x="10"/>
        <item x="3"/>
        <item x="7"/>
        <item x="20"/>
        <item x="31"/>
        <item x="37"/>
        <item x="21"/>
        <item x="0"/>
        <item x="12"/>
        <item t="default"/>
      </items>
    </pivotField>
    <pivotField compact="0" showAll="0">
      <items count="33">
        <item x="0"/>
        <item x="20"/>
        <item x="3"/>
        <item x="11"/>
        <item x="5"/>
        <item x="6"/>
        <item x="28"/>
        <item x="27"/>
        <item x="26"/>
        <item x="14"/>
        <item x="19"/>
        <item x="25"/>
        <item x="4"/>
        <item x="23"/>
        <item x="18"/>
        <item x="21"/>
        <item x="24"/>
        <item x="17"/>
        <item x="9"/>
        <item x="13"/>
        <item x="8"/>
        <item x="10"/>
        <item x="12"/>
        <item x="7"/>
        <item x="1"/>
        <item x="30"/>
        <item x="16"/>
        <item x="22"/>
        <item x="31"/>
        <item x="29"/>
        <item x="2"/>
        <item x="15"/>
        <item t="default"/>
      </items>
    </pivotField>
    <pivotField compact="0" numFmtId="176"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19">
        <item x="0"/>
        <item x="15"/>
        <item x="13"/>
        <item x="9"/>
        <item x="12"/>
        <item x="8"/>
        <item x="7"/>
        <item x="11"/>
        <item x="1"/>
        <item x="4"/>
        <item x="10"/>
        <item x="5"/>
        <item x="2"/>
        <item x="3"/>
        <item x="6"/>
        <item x="16"/>
        <item x="14"/>
        <item x="17"/>
        <item t="default"/>
      </items>
    </pivotField>
    <pivotField dataField="1" compact="0" showAll="0">
      <items count="29">
        <item x="10"/>
        <item x="14"/>
        <item x="8"/>
        <item x="12"/>
        <item x="7"/>
        <item x="17"/>
        <item x="21"/>
        <item x="16"/>
        <item x="27"/>
        <item x="6"/>
        <item x="2"/>
        <item x="11"/>
        <item x="20"/>
        <item x="9"/>
        <item x="25"/>
        <item x="19"/>
        <item x="22"/>
        <item x="23"/>
        <item x="13"/>
        <item x="0"/>
        <item x="15"/>
        <item x="3"/>
        <item x="4"/>
        <item x="1"/>
        <item x="18"/>
        <item x="5"/>
        <item x="26"/>
        <item x="24"/>
        <item t="default"/>
      </items>
    </pivotField>
    <pivotField compact="0" showAll="0">
      <items count="50">
        <item x="21"/>
        <item x="0"/>
        <item x="32"/>
        <item x="27"/>
        <item x="15"/>
        <item x="41"/>
        <item x="42"/>
        <item x="22"/>
        <item x="36"/>
        <item x="4"/>
        <item x="16"/>
        <item x="23"/>
        <item x="46"/>
        <item x="48"/>
        <item x="6"/>
        <item x="19"/>
        <item x="43"/>
        <item x="40"/>
        <item x="28"/>
        <item x="8"/>
        <item x="9"/>
        <item x="26"/>
        <item x="31"/>
        <item x="38"/>
        <item x="13"/>
        <item x="34"/>
        <item x="45"/>
        <item x="10"/>
        <item x="14"/>
        <item x="44"/>
        <item x="29"/>
        <item x="39"/>
        <item x="2"/>
        <item x="33"/>
        <item x="35"/>
        <item x="24"/>
        <item x="18"/>
        <item x="12"/>
        <item x="20"/>
        <item x="37"/>
        <item x="1"/>
        <item x="30"/>
        <item x="25"/>
        <item x="7"/>
        <item x="17"/>
        <item x="11"/>
        <item x="5"/>
        <item x="3"/>
        <item x="47"/>
        <item t="default"/>
      </items>
    </pivotField>
    <pivotField compact="0" showAll="0">
      <items count="31">
        <item x="17"/>
        <item x="26"/>
        <item x="28"/>
        <item x="20"/>
        <item x="21"/>
        <item x="6"/>
        <item x="16"/>
        <item x="19"/>
        <item x="22"/>
        <item x="23"/>
        <item x="9"/>
        <item x="25"/>
        <item x="24"/>
        <item x="18"/>
        <item x="15"/>
        <item x="14"/>
        <item x="12"/>
        <item x="4"/>
        <item x="8"/>
        <item x="13"/>
        <item x="10"/>
        <item x="27"/>
        <item x="3"/>
        <item x="29"/>
        <item x="5"/>
        <item x="1"/>
        <item x="2"/>
        <item x="7"/>
        <item x="11"/>
        <item x="0"/>
        <item t="default"/>
      </items>
    </pivotField>
    <pivotField compact="0" showAll="0">
      <items count="22">
        <item x="20"/>
        <item x="3"/>
        <item x="4"/>
        <item x="2"/>
        <item x="10"/>
        <item x="14"/>
        <item x="7"/>
        <item x="12"/>
        <item x="15"/>
        <item x="17"/>
        <item x="18"/>
        <item x="5"/>
        <item x="0"/>
        <item x="16"/>
        <item x="8"/>
        <item x="13"/>
        <item x="6"/>
        <item x="1"/>
        <item x="9"/>
        <item x="11"/>
        <item x="19"/>
        <item t="default"/>
      </items>
    </pivotField>
    <pivotField compact="0" showAll="0">
      <items count="24">
        <item x="5"/>
        <item x="19"/>
        <item x="21"/>
        <item x="6"/>
        <item x="2"/>
        <item x="13"/>
        <item x="17"/>
        <item x="10"/>
        <item x="15"/>
        <item x="9"/>
        <item x="18"/>
        <item x="14"/>
        <item x="7"/>
        <item x="0"/>
        <item x="1"/>
        <item x="20"/>
        <item x="16"/>
        <item x="8"/>
        <item x="22"/>
        <item x="4"/>
        <item x="11"/>
        <item x="12"/>
        <item x="3"/>
        <item t="default"/>
      </items>
    </pivotField>
    <pivotField compact="0" showAll="0">
      <items count="3">
        <item x="1"/>
        <item x="0"/>
        <item t="default"/>
      </items>
    </pivotField>
    <pivotField axis="axisRow" compact="0" showAll="0">
      <items count="6">
        <item x="1"/>
        <item x="2"/>
        <item x="0"/>
        <item m="1" x="4"/>
        <item x="3"/>
        <item t="default"/>
      </items>
    </pivotField>
    <pivotField compact="0" showAll="0">
      <items count="4">
        <item x="2"/>
        <item x="0"/>
        <item x="1"/>
        <item t="default"/>
      </items>
    </pivotField>
    <pivotField compact="0" showAll="0">
      <items count="3">
        <item x="0"/>
        <item x="1"/>
        <item t="default"/>
      </items>
    </pivotField>
    <pivotField compact="0" showAll="0">
      <items count="15">
        <item x="0"/>
        <item x="1"/>
        <item x="2"/>
        <item x="3"/>
        <item x="4"/>
        <item x="5"/>
        <item x="6"/>
        <item x="7"/>
        <item x="8"/>
        <item x="9"/>
        <item x="10"/>
        <item x="11"/>
        <item x="12"/>
        <item x="13"/>
        <item t="default"/>
      </items>
    </pivotField>
  </pivotFields>
  <rowFields count="1">
    <field x="15"/>
  </rowFields>
  <rowItems count="5">
    <i>
      <x/>
    </i>
    <i>
      <x v="1"/>
    </i>
    <i>
      <x v="2"/>
    </i>
    <i>
      <x v="4"/>
    </i>
    <i t="grand">
      <x/>
    </i>
  </rowItems>
  <colItems count="1">
    <i/>
  </colItems>
  <dataFields count="1">
    <dataField name="计数项:不合格项目"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3:B16" firstHeaderRow="1" firstDataRow="1" firstDataCol="1"/>
  <pivotFields count="19">
    <pivotField compact="0" showAll="0">
      <items count="49">
        <item x="47"/>
        <item x="42"/>
        <item x="3"/>
        <item x="46"/>
        <item x="5"/>
        <item x="8"/>
        <item x="39"/>
        <item x="35"/>
        <item x="16"/>
        <item x="24"/>
        <item x="0"/>
        <item x="41"/>
        <item x="9"/>
        <item x="43"/>
        <item x="18"/>
        <item x="26"/>
        <item x="27"/>
        <item x="31"/>
        <item x="34"/>
        <item x="25"/>
        <item x="29"/>
        <item x="14"/>
        <item x="28"/>
        <item x="45"/>
        <item x="6"/>
        <item x="15"/>
        <item x="32"/>
        <item x="36"/>
        <item x="38"/>
        <item x="4"/>
        <item x="40"/>
        <item x="11"/>
        <item x="33"/>
        <item x="22"/>
        <item x="37"/>
        <item x="12"/>
        <item x="20"/>
        <item x="21"/>
        <item x="19"/>
        <item x="1"/>
        <item x="17"/>
        <item x="30"/>
        <item x="10"/>
        <item x="44"/>
        <item x="23"/>
        <item x="13"/>
        <item x="7"/>
        <item x="2"/>
        <item t="default"/>
      </items>
    </pivotField>
    <pivotField compact="0" showAll="0"/>
    <pivotField compact="0" showAll="0"/>
    <pivotField compact="0" showAll="0"/>
    <pivotField compact="0" showAll="0"/>
    <pivotField compact="0" showAll="0"/>
    <pivotField compact="0" showAll="0"/>
    <pivotField compact="0" numFmtId="176" showAll="0"/>
    <pivotField compact="0" showAll="0"/>
    <pivotField dataField="1" compact="0" showAll="0">
      <items count="29">
        <item x="10"/>
        <item x="14"/>
        <item x="8"/>
        <item x="12"/>
        <item x="7"/>
        <item x="17"/>
        <item x="21"/>
        <item x="16"/>
        <item x="27"/>
        <item x="6"/>
        <item x="2"/>
        <item x="11"/>
        <item x="20"/>
        <item x="9"/>
        <item x="25"/>
        <item x="19"/>
        <item x="22"/>
        <item x="23"/>
        <item x="13"/>
        <item x="0"/>
        <item x="15"/>
        <item x="3"/>
        <item x="4"/>
        <item x="1"/>
        <item x="18"/>
        <item x="5"/>
        <item x="26"/>
        <item x="24"/>
        <item t="default"/>
      </items>
    </pivotField>
    <pivotField compact="0" showAll="0"/>
    <pivotField compact="0" showAll="0"/>
    <pivotField compact="0" showAll="0"/>
    <pivotField compact="0" showAll="0"/>
    <pivotField compact="0" showAll="0"/>
    <pivotField compact="0" showAll="0"/>
    <pivotField compact="0" showAll="0">
      <items count="4">
        <item x="2"/>
        <item x="0"/>
        <item x="1"/>
        <item t="default"/>
      </items>
    </pivotField>
    <pivotField compact="0" showAll="0"/>
    <pivotField axis="axisRow" compact="0" sortType="ascending" defaultSubtotal="0" showAll="0">
      <items count="14">
        <item x="0"/>
        <item x="13"/>
        <item x="10"/>
        <item x="11"/>
        <item x="12"/>
        <item x="1"/>
        <item x="2"/>
        <item x="3"/>
        <item x="4"/>
        <item x="5"/>
        <item x="6"/>
        <item x="7"/>
        <item x="8"/>
        <item x="9"/>
      </items>
    </pivotField>
  </pivotFields>
  <rowFields count="1">
    <field x="18"/>
  </rowFields>
  <rowItems count="13">
    <i>
      <x v="2"/>
    </i>
    <i>
      <x v="3"/>
    </i>
    <i>
      <x v="4"/>
    </i>
    <i>
      <x v="5"/>
    </i>
    <i>
      <x v="6"/>
    </i>
    <i>
      <x v="7"/>
    </i>
    <i>
      <x v="8"/>
    </i>
    <i>
      <x v="9"/>
    </i>
    <i>
      <x v="10"/>
    </i>
    <i>
      <x v="11"/>
    </i>
    <i>
      <x v="12"/>
    </i>
    <i>
      <x v="13"/>
    </i>
    <i t="grand">
      <x/>
    </i>
  </rowItems>
  <colItems count="1">
    <i/>
  </colItems>
  <dataFields count="1">
    <dataField name="计数项:不合格项目" fld="9"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3" connectionId="2" autoFormatId="16" applyNumberFormats="0" applyBorderFormats="0" applyFontFormats="1" applyPatternFormats="1" applyAlignmentFormats="0" applyWidthHeightFormats="0">
  <queryTableRefresh preserveSortFilterLayout="1" nextId="20">
    <queryTableFields count="19">
      <queryTableField id="1" name="标称生产企业名称" tableColumnId="1"/>
      <queryTableField id="2" name="标称生产企业地址" tableColumnId="2"/>
      <queryTableField id="3" name="被抽样单位名称" tableColumnId="3"/>
      <queryTableField id="4" name="被抽样单位地址" tableColumnId="4"/>
      <queryTableField id="5" name="样品名称" tableColumnId="5"/>
      <queryTableField id="6" name="规格型号" tableColumnId="6"/>
      <queryTableField id="7" name="商标" tableColumnId="7"/>
      <queryTableField id="8" name="生产日期" tableColumnId="8"/>
      <queryTableField id="9" name="保质期" tableColumnId="9"/>
      <queryTableField id="10" name="不合格项目" tableColumnId="10"/>
      <queryTableField id="11" name="检验值" tableColumnId="11"/>
      <queryTableField id="12" name="标准值" tableColumnId="12"/>
      <queryTableField id="13" name="标称地址" tableColumnId="14"/>
      <queryTableField id="14" name="抽样地址" tableColumnId="15"/>
      <queryTableField id="15" name="是否本地" tableColumnId="16"/>
      <queryTableField id="16" name="进一步" tableColumnId="18"/>
      <queryTableField id="17" dataBound="0" tableColumnId="13"/>
      <queryTableField id="18" dataBound="0" tableColumnId="17"/>
      <queryTableField id="19" dataBound="0" tableColumnId="19"/>
    </queryTableFields>
  </queryTableRefresh>
</queryTable>
</file>

<file path=xl/queryTables/queryTable2.xml><?xml version="1.0" encoding="utf-8"?>
<queryTable xmlns="http://schemas.openxmlformats.org/spreadsheetml/2006/main" name="ExternalData_2" connectionId="1" autoFormatId="16" applyNumberFormats="0" applyBorderFormats="0" applyFontFormats="1" applyPatternFormats="1" applyAlignmentFormats="0" applyWidthHeightFormats="0">
  <queryTableRefresh preserveSortFilterLayout="1" nextId="3">
    <queryTableFields count="2">
      <queryTableField id="1" name="是否本地" tableColumnId="16"/>
      <queryTableField id="2" name="百分比"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5" name="深度清洗" displayName="深度清洗" ref="A1:S51" tableType="queryTable" totalsRowShown="0">
  <autoFilter xmlns:etc="http://www.wps.cn/officeDocument/2017/etCustomData" ref="A1:S51" etc:filterBottomFollowUsedRange="0"/>
  <sortState ref="A1:S51">
    <sortCondition ref="S1"/>
  </sortState>
  <tableColumns count="19">
    <tableColumn id="1" name="标称生产企业名称" uniqueName="1" queryTableFieldId="1" dataDxfId="14"/>
    <tableColumn id="2" name="标称生产企业地址" uniqueName="2" queryTableFieldId="2" dataDxfId="15"/>
    <tableColumn id="3" name="被抽样单位名称" uniqueName="3" queryTableFieldId="3" dataDxfId="16"/>
    <tableColumn id="4" name="被抽样单位地址" uniqueName="4" queryTableFieldId="4" dataDxfId="17"/>
    <tableColumn id="5" name="样品名称" uniqueName="5" queryTableFieldId="5" dataDxfId="18"/>
    <tableColumn id="6" name="规格型号" uniqueName="6" queryTableFieldId="6" dataDxfId="19"/>
    <tableColumn id="7" name="商标" uniqueName="7" queryTableFieldId="7" dataDxfId="20"/>
    <tableColumn id="8" name="生产日期" uniqueName="8" queryTableFieldId="8" dataDxfId="21"/>
    <tableColumn id="9" name="保质期" uniqueName="9" queryTableFieldId="9" dataDxfId="22"/>
    <tableColumn id="10" name="不合格项目" uniqueName="10" queryTableFieldId="10" dataDxfId="23"/>
    <tableColumn id="11" name="检验值" uniqueName="11" queryTableFieldId="11"/>
    <tableColumn id="12" name="标准值" uniqueName="12" queryTableFieldId="12" dataDxfId="24"/>
    <tableColumn id="14" name="标称地址" uniqueName="14" queryTableFieldId="13" dataDxfId="25"/>
    <tableColumn id="15" name="抽样地址" uniqueName="15" queryTableFieldId="14" dataDxfId="26"/>
    <tableColumn id="16" name="是否本地" uniqueName="16" queryTableFieldId="15" dataDxfId="27"/>
    <tableColumn id="18" name="超标程度" uniqueName="18" queryTableFieldId="16" dataDxfId="28"/>
    <tableColumn id="13" name="是否为落后地区" uniqueName="13" queryTableFieldId="17" dataDxfId="29">
      <calculatedColumnFormula>IF(OR(N2="新疆",N2="宁夏",N2="青海",N2="甘肃",N2="贵州",N2="山西",N2="吉林",N2="龙江",N2="海南",N2="西藏"),"欠发达地区",IF(OR(N2="北京",N2="上海",N2="广东",N2="江苏",N2="浙江",N2="山东",N2="福建",N2="重庆",N2="湖北",N2="天津"),"发达地区","普通地区"))</calculatedColumnFormula>
    </tableColumn>
    <tableColumn id="17" name="企业类型" uniqueName="17" queryTableFieldId="18" dataDxfId="30">
      <calculatedColumnFormula>IF(ISNUMBER(FIND("有限公司",A2)),"有限公司",IF(ISNUMBER(FIND("股份公司",A2)),"股份公司",IF(ISNUMBER(FIND("合作社",A2)),"合作社",IF(ISNUMBER(FIND("个体",A2)),"个体户","其他"))))</calculatedColumnFormula>
    </tableColumn>
    <tableColumn id="19" name="月份" uniqueName="19" queryTableFieldId="19" dataDxfId="31">
      <calculatedColumnFormula>H2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4" name="异地销售占比" displayName="异地销售占比" ref="A1:B3" tableType="queryTable" totalsRowShown="0">
  <autoFilter xmlns:etc="http://www.wps.cn/officeDocument/2017/etCustomData" ref="A1:B3" etc:filterBottomFollowUsedRange="0"/>
  <tableColumns count="2">
    <tableColumn id="16" name="是否本地" uniqueName="16" queryTableFieldId="1"/>
    <tableColumn id="17" name="百分比" uniqueName="17" queryTableFieldId="2"/>
  </tableColumns>
  <tableStyleInfo name="TableStyleMedium7" showFirstColumn="0" showLastColumn="0" showRowStripes="1" showColumnStripes="0"/>
</table>
</file>

<file path=xl/tables/table3.xml><?xml version="1.0" encoding="utf-8"?>
<table xmlns="http://schemas.openxmlformats.org/spreadsheetml/2006/main" id="2" name="表2" displayName="表2" ref="C5:C6" insertRow="1" totalsRowShown="0">
  <autoFilter xmlns:etc="http://www.wps.cn/officeDocument/2017/etCustomData" ref="C5:C6" etc:filterBottomFollowUsedRange="0"/>
  <tableColumns count="1">
    <tableColumn id="1" name="列1"/>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29"/>
  <sheetViews>
    <sheetView topLeftCell="B1" workbookViewId="0">
      <selection activeCell="E5" sqref="E5:J29"/>
    </sheetView>
  </sheetViews>
  <sheetFormatPr defaultColWidth="8.88888888888889" defaultRowHeight="13.8"/>
  <cols>
    <col min="1" max="1" width="13.6666666666667"/>
    <col min="2" max="2" width="16.8888888888889"/>
    <col min="3" max="4" width="13.6666666666667"/>
    <col min="5" max="5" width="19.1111111111111"/>
    <col min="6" max="9" width="13.6666666666667"/>
    <col min="10" max="10" width="5.66666666666667"/>
    <col min="11" max="13" width="19.1111111111111"/>
    <col min="14" max="14" width="21.4444444444444"/>
    <col min="15" max="15" width="23.6666666666667"/>
  </cols>
  <sheetData>
    <row r="2" spans="1:8">
      <c r="A2" s="7"/>
      <c r="B2" s="7"/>
      <c r="C2" s="7"/>
      <c r="D2" s="7"/>
      <c r="E2" s="7" t="s">
        <v>0</v>
      </c>
      <c r="F2" s="7" t="s">
        <v>1</v>
      </c>
      <c r="G2" s="7"/>
      <c r="H2" s="7"/>
    </row>
    <row r="4" spans="5:10">
      <c r="E4" s="7" t="s">
        <v>2</v>
      </c>
      <c r="F4" s="7" t="s">
        <v>3</v>
      </c>
      <c r="G4" s="7"/>
      <c r="H4" s="7"/>
      <c r="I4" s="7"/>
      <c r="J4" s="7"/>
    </row>
    <row r="5" spans="5:10">
      <c r="E5" s="7" t="s">
        <v>4</v>
      </c>
      <c r="F5" s="7" t="s">
        <v>5</v>
      </c>
      <c r="G5" s="7" t="s">
        <v>6</v>
      </c>
      <c r="H5" s="7" t="s">
        <v>7</v>
      </c>
      <c r="I5" s="7" t="s">
        <v>8</v>
      </c>
      <c r="J5" s="7" t="s">
        <v>9</v>
      </c>
    </row>
    <row r="6" spans="5:10">
      <c r="E6" s="7" t="s">
        <v>10</v>
      </c>
      <c r="F6" s="9">
        <v>3</v>
      </c>
      <c r="G6" s="9"/>
      <c r="H6" s="9">
        <v>1</v>
      </c>
      <c r="I6" s="9"/>
      <c r="J6" s="9">
        <v>4</v>
      </c>
    </row>
    <row r="7" spans="5:10">
      <c r="E7" s="7" t="s">
        <v>11</v>
      </c>
      <c r="F7" s="9">
        <v>1</v>
      </c>
      <c r="G7" s="9">
        <v>2</v>
      </c>
      <c r="H7" s="9">
        <v>1</v>
      </c>
      <c r="I7" s="9"/>
      <c r="J7" s="9">
        <v>4</v>
      </c>
    </row>
    <row r="8" spans="5:10">
      <c r="E8" s="7" t="s">
        <v>12</v>
      </c>
      <c r="F8" s="9">
        <v>1</v>
      </c>
      <c r="G8" s="9"/>
      <c r="H8" s="9">
        <v>3</v>
      </c>
      <c r="I8" s="9"/>
      <c r="J8" s="9">
        <v>4</v>
      </c>
    </row>
    <row r="9" spans="5:10">
      <c r="E9" s="7" t="s">
        <v>13</v>
      </c>
      <c r="F9" s="9">
        <v>1</v>
      </c>
      <c r="G9" s="9"/>
      <c r="H9" s="9">
        <v>3</v>
      </c>
      <c r="I9" s="9"/>
      <c r="J9" s="9">
        <v>4</v>
      </c>
    </row>
    <row r="10" spans="5:10">
      <c r="E10" s="7" t="s">
        <v>14</v>
      </c>
      <c r="F10" s="9">
        <v>1</v>
      </c>
      <c r="G10" s="9"/>
      <c r="H10" s="9">
        <v>2</v>
      </c>
      <c r="I10" s="9"/>
      <c r="J10" s="9">
        <v>3</v>
      </c>
    </row>
    <row r="11" spans="5:10">
      <c r="E11" s="7" t="s">
        <v>15</v>
      </c>
      <c r="F11" s="9"/>
      <c r="G11" s="9">
        <v>1</v>
      </c>
      <c r="H11" s="9">
        <v>1</v>
      </c>
      <c r="I11" s="9">
        <v>1</v>
      </c>
      <c r="J11" s="9">
        <v>3</v>
      </c>
    </row>
    <row r="12" spans="5:10">
      <c r="E12" s="7" t="s">
        <v>16</v>
      </c>
      <c r="F12" s="9"/>
      <c r="G12" s="9">
        <v>1</v>
      </c>
      <c r="H12" s="9">
        <v>2</v>
      </c>
      <c r="I12" s="9"/>
      <c r="J12" s="9">
        <v>3</v>
      </c>
    </row>
    <row r="13" spans="5:10">
      <c r="E13" s="7" t="s">
        <v>17</v>
      </c>
      <c r="F13" s="9"/>
      <c r="G13" s="9">
        <v>1</v>
      </c>
      <c r="H13" s="9"/>
      <c r="I13" s="9">
        <v>1</v>
      </c>
      <c r="J13" s="9">
        <v>2</v>
      </c>
    </row>
    <row r="14" spans="5:10">
      <c r="E14" s="7" t="s">
        <v>18</v>
      </c>
      <c r="F14" s="9"/>
      <c r="G14" s="9"/>
      <c r="H14" s="9">
        <v>1</v>
      </c>
      <c r="I14" s="9">
        <v>1</v>
      </c>
      <c r="J14" s="9">
        <v>2</v>
      </c>
    </row>
    <row r="15" spans="5:10">
      <c r="E15" s="7" t="s">
        <v>19</v>
      </c>
      <c r="F15" s="9"/>
      <c r="G15" s="9"/>
      <c r="H15" s="9"/>
      <c r="I15" s="9">
        <v>2</v>
      </c>
      <c r="J15" s="9">
        <v>2</v>
      </c>
    </row>
    <row r="16" spans="5:10">
      <c r="E16" s="7" t="s">
        <v>20</v>
      </c>
      <c r="F16" s="9">
        <v>1</v>
      </c>
      <c r="G16" s="9"/>
      <c r="H16" s="9"/>
      <c r="I16" s="9">
        <v>1</v>
      </c>
      <c r="J16" s="9">
        <v>2</v>
      </c>
    </row>
    <row r="17" spans="5:10">
      <c r="E17" s="7" t="s">
        <v>21</v>
      </c>
      <c r="F17" s="9"/>
      <c r="G17" s="9"/>
      <c r="H17" s="9">
        <v>2</v>
      </c>
      <c r="I17" s="9"/>
      <c r="J17" s="9">
        <v>2</v>
      </c>
    </row>
    <row r="18" spans="5:10">
      <c r="E18" s="7" t="s">
        <v>22</v>
      </c>
      <c r="F18" s="9"/>
      <c r="G18" s="9"/>
      <c r="H18" s="9">
        <v>2</v>
      </c>
      <c r="I18" s="9"/>
      <c r="J18" s="9">
        <v>2</v>
      </c>
    </row>
    <row r="19" spans="5:10">
      <c r="E19" s="7" t="s">
        <v>23</v>
      </c>
      <c r="F19" s="9"/>
      <c r="G19" s="9">
        <v>2</v>
      </c>
      <c r="H19" s="9"/>
      <c r="I19" s="9"/>
      <c r="J19" s="9">
        <v>2</v>
      </c>
    </row>
    <row r="20" spans="5:10">
      <c r="E20" s="7" t="s">
        <v>24</v>
      </c>
      <c r="F20" s="9"/>
      <c r="G20" s="9"/>
      <c r="H20" s="9">
        <v>2</v>
      </c>
      <c r="I20" s="9"/>
      <c r="J20" s="9">
        <v>2</v>
      </c>
    </row>
    <row r="21" spans="5:10">
      <c r="E21" s="7" t="s">
        <v>25</v>
      </c>
      <c r="F21" s="9"/>
      <c r="G21" s="9"/>
      <c r="H21" s="9">
        <v>1</v>
      </c>
      <c r="I21" s="9">
        <v>1</v>
      </c>
      <c r="J21" s="9">
        <v>2</v>
      </c>
    </row>
    <row r="22" spans="5:10">
      <c r="E22" s="7" t="s">
        <v>26</v>
      </c>
      <c r="F22" s="9"/>
      <c r="G22" s="9"/>
      <c r="H22" s="9">
        <v>1</v>
      </c>
      <c r="I22" s="9"/>
      <c r="J22" s="9">
        <v>1</v>
      </c>
    </row>
    <row r="23" spans="5:10">
      <c r="E23" s="7" t="s">
        <v>27</v>
      </c>
      <c r="F23" s="9"/>
      <c r="G23" s="9"/>
      <c r="H23" s="9">
        <v>1</v>
      </c>
      <c r="I23" s="9"/>
      <c r="J23" s="9">
        <v>1</v>
      </c>
    </row>
    <row r="24" spans="5:10">
      <c r="E24" s="7" t="s">
        <v>28</v>
      </c>
      <c r="F24" s="9"/>
      <c r="G24" s="9"/>
      <c r="H24" s="9">
        <v>1</v>
      </c>
      <c r="I24" s="9"/>
      <c r="J24" s="9">
        <v>1</v>
      </c>
    </row>
    <row r="25" spans="5:10">
      <c r="E25" s="7" t="s">
        <v>29</v>
      </c>
      <c r="F25" s="9"/>
      <c r="G25" s="9">
        <v>1</v>
      </c>
      <c r="H25" s="9"/>
      <c r="I25" s="9"/>
      <c r="J25" s="9">
        <v>1</v>
      </c>
    </row>
    <row r="26" spans="5:10">
      <c r="E26" s="7" t="s">
        <v>30</v>
      </c>
      <c r="F26" s="9"/>
      <c r="G26" s="9"/>
      <c r="H26" s="9">
        <v>1</v>
      </c>
      <c r="I26" s="9"/>
      <c r="J26" s="9">
        <v>1</v>
      </c>
    </row>
    <row r="27" spans="5:10">
      <c r="E27" s="7" t="s">
        <v>31</v>
      </c>
      <c r="F27" s="9"/>
      <c r="G27" s="9">
        <v>1</v>
      </c>
      <c r="H27" s="9"/>
      <c r="I27" s="9"/>
      <c r="J27" s="9">
        <v>1</v>
      </c>
    </row>
    <row r="28" spans="5:10">
      <c r="E28" s="7" t="s">
        <v>32</v>
      </c>
      <c r="F28" s="9"/>
      <c r="G28" s="9">
        <v>1</v>
      </c>
      <c r="H28" s="9"/>
      <c r="I28" s="9"/>
      <c r="J28" s="9">
        <v>1</v>
      </c>
    </row>
    <row r="29" spans="5:10">
      <c r="E29" s="7" t="s">
        <v>9</v>
      </c>
      <c r="F29" s="9">
        <v>8</v>
      </c>
      <c r="G29" s="9">
        <v>10</v>
      </c>
      <c r="H29" s="9">
        <v>25</v>
      </c>
      <c r="I29" s="9">
        <v>7</v>
      </c>
      <c r="J29" s="9">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23"/>
  <sheetViews>
    <sheetView workbookViewId="0">
      <selection activeCell="C17" sqref="C17"/>
    </sheetView>
  </sheetViews>
  <sheetFormatPr defaultColWidth="8.88888888888889" defaultRowHeight="13.8" outlineLevelCol="1"/>
  <cols>
    <col min="1" max="1" width="92.8888888888889"/>
    <col min="2" max="3" width="19.1111111111111"/>
  </cols>
  <sheetData>
    <row r="3" spans="1:2">
      <c r="A3" t="s">
        <v>33</v>
      </c>
      <c r="B3" t="s">
        <v>2</v>
      </c>
    </row>
    <row r="4" spans="1:2">
      <c r="A4" t="s">
        <v>34</v>
      </c>
      <c r="B4">
        <v>3</v>
      </c>
    </row>
    <row r="5" spans="1:2">
      <c r="A5" t="s">
        <v>35</v>
      </c>
      <c r="B5">
        <v>1</v>
      </c>
    </row>
    <row r="6" spans="1:2">
      <c r="A6" t="s">
        <v>36</v>
      </c>
      <c r="B6">
        <v>1</v>
      </c>
    </row>
    <row r="7" spans="1:2">
      <c r="A7" t="s">
        <v>37</v>
      </c>
      <c r="B7">
        <v>1</v>
      </c>
    </row>
    <row r="8" spans="1:2">
      <c r="A8" t="s">
        <v>38</v>
      </c>
      <c r="B8">
        <v>1</v>
      </c>
    </row>
    <row r="9" spans="1:2">
      <c r="A9" t="s">
        <v>39</v>
      </c>
      <c r="B9">
        <v>1</v>
      </c>
    </row>
    <row r="10" spans="1:2">
      <c r="A10" t="s">
        <v>40</v>
      </c>
      <c r="B10">
        <v>1</v>
      </c>
    </row>
    <row r="11" spans="1:2">
      <c r="A11" t="s">
        <v>41</v>
      </c>
      <c r="B11">
        <v>1</v>
      </c>
    </row>
    <row r="12" spans="1:2">
      <c r="A12" t="s">
        <v>42</v>
      </c>
      <c r="B12">
        <v>1</v>
      </c>
    </row>
    <row r="13" spans="1:2">
      <c r="A13" t="s">
        <v>43</v>
      </c>
      <c r="B13">
        <v>1</v>
      </c>
    </row>
    <row r="14" spans="1:2">
      <c r="A14" t="s">
        <v>44</v>
      </c>
      <c r="B14">
        <v>1</v>
      </c>
    </row>
    <row r="15" spans="1:2">
      <c r="A15" t="s">
        <v>45</v>
      </c>
      <c r="B15">
        <v>1</v>
      </c>
    </row>
    <row r="16" spans="1:2">
      <c r="A16" t="s">
        <v>46</v>
      </c>
      <c r="B16">
        <v>1</v>
      </c>
    </row>
    <row r="17" spans="1:2">
      <c r="A17" t="s">
        <v>47</v>
      </c>
      <c r="B17">
        <v>1</v>
      </c>
    </row>
    <row r="18" spans="1:2">
      <c r="A18" t="s">
        <v>48</v>
      </c>
      <c r="B18">
        <v>1</v>
      </c>
    </row>
    <row r="19" spans="1:2">
      <c r="A19" t="s">
        <v>49</v>
      </c>
      <c r="B19">
        <v>1</v>
      </c>
    </row>
    <row r="20" spans="1:2">
      <c r="A20" t="s">
        <v>50</v>
      </c>
      <c r="B20">
        <v>1</v>
      </c>
    </row>
    <row r="21" spans="1:2">
      <c r="A21" t="s">
        <v>51</v>
      </c>
      <c r="B21">
        <v>1</v>
      </c>
    </row>
    <row r="22" spans="1:2">
      <c r="A22" t="s">
        <v>52</v>
      </c>
      <c r="B22">
        <v>1</v>
      </c>
    </row>
    <row r="23" spans="1:2">
      <c r="A23" t="s">
        <v>9</v>
      </c>
      <c r="B23">
        <v>21</v>
      </c>
    </row>
  </sheetData>
  <conditionalFormatting sqref="B3">
    <cfRule type="dataBar" priority="2">
      <dataBar>
        <cfvo type="min"/>
        <cfvo type="max"/>
        <color rgb="FF638EC6"/>
      </dataBar>
      <extLst>
        <ext xmlns:x14="http://schemas.microsoft.com/office/spreadsheetml/2009/9/main" uri="{B025F937-C7B1-47D3-B67F-A62EFF666E3E}">
          <x14:id>{030d433f-860c-462c-97b9-0ae029252acd}</x14:id>
        </ext>
      </extLst>
    </cfRule>
  </conditionalFormatting>
  <conditionalFormatting sqref="B$1:B$1048576">
    <cfRule type="dataBar" priority="1">
      <dataBar>
        <cfvo type="min"/>
        <cfvo type="max"/>
        <color rgb="FF638EC6"/>
      </dataBar>
      <extLst>
        <ext xmlns:x14="http://schemas.microsoft.com/office/spreadsheetml/2009/9/main" uri="{B025F937-C7B1-47D3-B67F-A62EFF666E3E}">
          <x14:id>{1934e703-d793-47a6-b7ce-aae38de76db5}</x14:id>
        </ext>
      </extLst>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030d433f-860c-462c-97b9-0ae029252acd}">
            <x14:dataBar minLength="0" maxLength="100" border="1" negativeBarBorderColorSameAsPositive="0">
              <x14:cfvo type="autoMin"/>
              <x14:cfvo type="autoMax"/>
              <x14:borderColor rgb="FF638EC6"/>
              <x14:negativeFillColor rgb="FFFF0000"/>
              <x14:negativeBorderColor rgb="FFFF0000"/>
              <x14:axisColor rgb="FF000000"/>
            </x14:dataBar>
          </x14:cfRule>
          <xm:sqref>B3</xm:sqref>
        </x14:conditionalFormatting>
        <x14:conditionalFormatting xmlns:xm="http://schemas.microsoft.com/office/excel/2006/main">
          <x14:cfRule type="dataBar" id="{1934e703-d793-47a6-b7ce-aae38de76db5}">
            <x14:dataBar minLength="0" maxLength="100" border="1" negativeBarBorderColorSameAsPositive="0">
              <x14:cfvo type="autoMin"/>
              <x14:cfvo type="autoMax"/>
              <x14:borderColor rgb="FF638EC6"/>
              <x14:negativeFillColor rgb="FFFF0000"/>
              <x14:negativeBorderColor rgb="FFFF0000"/>
              <x14:axisColor rgb="FF000000"/>
            </x14:dataBar>
          </x14:cfRule>
          <xm:sqref>B$1:B$1048576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workbookViewId="0">
      <selection activeCell="B26" sqref="B26"/>
    </sheetView>
  </sheetViews>
  <sheetFormatPr defaultColWidth="8.88888888888889" defaultRowHeight="13.8"/>
  <cols>
    <col min="1" max="1" width="19.1111111111111" style="7"/>
    <col min="2" max="4" width="15.8888888888889" style="7"/>
    <col min="5" max="6" width="5.66666666666667" style="7"/>
    <col min="7" max="8" width="11.5648148148148" style="7"/>
    <col min="9" max="9" width="14.7777777777778" style="7"/>
    <col min="10" max="11" width="11.5648148148148" style="7"/>
    <col min="12" max="12" width="14.7777777777778" style="7"/>
    <col min="13" max="13" width="5.66666666666667" style="7"/>
    <col min="14" max="14" width="5.66666666666667"/>
  </cols>
  <sheetData>
    <row r="1" spans="1:2">
      <c r="A1" s="8" t="s">
        <v>53</v>
      </c>
      <c r="B1" s="8" t="s">
        <v>54</v>
      </c>
    </row>
    <row r="2" spans="1:2">
      <c r="A2" s="8" t="s">
        <v>0</v>
      </c>
      <c r="B2" s="8" t="s">
        <v>1</v>
      </c>
    </row>
    <row r="3" spans="1:13">
      <c r="A3"/>
      <c r="B3"/>
      <c r="C3"/>
      <c r="D3"/>
      <c r="E3"/>
      <c r="F3"/>
      <c r="G3"/>
      <c r="H3"/>
      <c r="I3"/>
      <c r="J3"/>
      <c r="K3"/>
      <c r="L3"/>
      <c r="M3"/>
    </row>
    <row r="4" spans="1:13">
      <c r="A4" s="8" t="s">
        <v>55</v>
      </c>
      <c r="B4" s="8" t="s">
        <v>3</v>
      </c>
      <c r="C4" s="8"/>
      <c r="D4" s="8"/>
      <c r="E4" s="8"/>
      <c r="F4"/>
      <c r="G4"/>
      <c r="H4"/>
      <c r="I4"/>
      <c r="J4"/>
      <c r="K4"/>
      <c r="L4"/>
      <c r="M4"/>
    </row>
    <row r="5" spans="1:13">
      <c r="A5" s="8" t="s">
        <v>4</v>
      </c>
      <c r="B5" s="8" t="s">
        <v>5</v>
      </c>
      <c r="C5" s="8" t="s">
        <v>7</v>
      </c>
      <c r="D5" s="8" t="s">
        <v>8</v>
      </c>
      <c r="E5" s="8" t="s">
        <v>9</v>
      </c>
      <c r="F5"/>
      <c r="G5"/>
      <c r="H5"/>
      <c r="I5"/>
      <c r="J5"/>
      <c r="K5"/>
      <c r="L5"/>
      <c r="M5"/>
    </row>
    <row r="6" spans="1:13">
      <c r="A6" s="8" t="s">
        <v>12</v>
      </c>
      <c r="B6" s="8">
        <v>1</v>
      </c>
      <c r="C6" s="8">
        <v>3</v>
      </c>
      <c r="D6" s="8"/>
      <c r="E6" s="8">
        <v>4</v>
      </c>
      <c r="F6"/>
      <c r="G6"/>
      <c r="H6"/>
      <c r="I6"/>
      <c r="J6"/>
      <c r="K6"/>
      <c r="L6"/>
      <c r="M6"/>
    </row>
    <row r="7" spans="1:13">
      <c r="A7" s="8" t="s">
        <v>13</v>
      </c>
      <c r="B7" s="8">
        <v>1</v>
      </c>
      <c r="C7" s="8">
        <v>3</v>
      </c>
      <c r="D7" s="8"/>
      <c r="E7" s="8">
        <v>4</v>
      </c>
      <c r="F7"/>
      <c r="G7"/>
      <c r="H7"/>
      <c r="I7"/>
      <c r="J7"/>
      <c r="K7"/>
      <c r="L7"/>
      <c r="M7"/>
    </row>
    <row r="8" spans="1:13">
      <c r="A8" s="8" t="s">
        <v>19</v>
      </c>
      <c r="B8" s="8"/>
      <c r="C8" s="8"/>
      <c r="D8" s="8">
        <v>2</v>
      </c>
      <c r="E8" s="8">
        <v>2</v>
      </c>
      <c r="F8"/>
      <c r="G8"/>
      <c r="H8"/>
      <c r="I8"/>
      <c r="J8"/>
      <c r="K8"/>
      <c r="L8"/>
      <c r="M8"/>
    </row>
    <row r="9" spans="1:13">
      <c r="A9" s="8" t="s">
        <v>20</v>
      </c>
      <c r="B9" s="8">
        <v>1</v>
      </c>
      <c r="C9" s="8"/>
      <c r="D9" s="8">
        <v>1</v>
      </c>
      <c r="E9" s="8">
        <v>2</v>
      </c>
      <c r="F9"/>
      <c r="G9"/>
      <c r="H9"/>
      <c r="I9"/>
      <c r="J9"/>
      <c r="K9"/>
      <c r="L9"/>
      <c r="M9"/>
    </row>
    <row r="10" spans="1:13">
      <c r="A10" s="8" t="s">
        <v>26</v>
      </c>
      <c r="B10" s="8"/>
      <c r="C10" s="8">
        <v>1</v>
      </c>
      <c r="D10" s="8"/>
      <c r="E10" s="8">
        <v>1</v>
      </c>
      <c r="F10"/>
      <c r="G10"/>
      <c r="H10"/>
      <c r="I10"/>
      <c r="J10"/>
      <c r="K10"/>
      <c r="L10"/>
      <c r="M10"/>
    </row>
    <row r="11" spans="1:13">
      <c r="A11" s="8" t="s">
        <v>30</v>
      </c>
      <c r="B11" s="8"/>
      <c r="C11" s="8">
        <v>1</v>
      </c>
      <c r="D11" s="8"/>
      <c r="E11" s="8">
        <v>1</v>
      </c>
      <c r="F11"/>
      <c r="G11"/>
      <c r="H11"/>
      <c r="I11"/>
      <c r="J11"/>
      <c r="K11"/>
      <c r="L11"/>
      <c r="M11"/>
    </row>
    <row r="12" spans="1:13">
      <c r="A12" s="8" t="s">
        <v>9</v>
      </c>
      <c r="B12" s="8">
        <v>3</v>
      </c>
      <c r="C12" s="8">
        <v>8</v>
      </c>
      <c r="D12" s="8">
        <v>3</v>
      </c>
      <c r="E12" s="8">
        <v>14</v>
      </c>
      <c r="F12"/>
      <c r="G12"/>
      <c r="H12"/>
      <c r="I12"/>
      <c r="J12"/>
      <c r="K12"/>
      <c r="L12"/>
      <c r="M12"/>
    </row>
    <row r="13" spans="1:13">
      <c r="A13"/>
      <c r="B13"/>
      <c r="C13"/>
      <c r="D13"/>
      <c r="E13"/>
      <c r="F13"/>
      <c r="G13"/>
      <c r="H13"/>
      <c r="I13"/>
      <c r="J13"/>
      <c r="K13"/>
      <c r="L13"/>
      <c r="M13"/>
    </row>
    <row r="14" spans="1:13">
      <c r="A14"/>
      <c r="B14"/>
      <c r="C14"/>
      <c r="D14"/>
      <c r="E14"/>
      <c r="F14"/>
      <c r="G14"/>
      <c r="H14"/>
      <c r="I14"/>
      <c r="J14"/>
      <c r="K14"/>
      <c r="L14"/>
      <c r="M14"/>
    </row>
    <row r="15" spans="1:13">
      <c r="A15"/>
      <c r="B15"/>
      <c r="C15"/>
      <c r="D15"/>
      <c r="E15"/>
      <c r="F15"/>
      <c r="G15"/>
      <c r="H15"/>
      <c r="I15"/>
      <c r="J15"/>
      <c r="K15"/>
      <c r="L15"/>
      <c r="M15"/>
    </row>
    <row r="16" spans="1:13">
      <c r="A16"/>
      <c r="B16"/>
      <c r="C16"/>
      <c r="D16"/>
      <c r="E16"/>
      <c r="F16"/>
      <c r="G16"/>
      <c r="H16"/>
      <c r="I16"/>
      <c r="J16"/>
      <c r="K16"/>
      <c r="L16"/>
      <c r="M16"/>
    </row>
    <row r="17" spans="1:13">
      <c r="A17"/>
      <c r="B17"/>
      <c r="C17"/>
      <c r="D17"/>
      <c r="E17"/>
      <c r="F17"/>
      <c r="G17"/>
      <c r="H17"/>
      <c r="I17"/>
      <c r="J17"/>
      <c r="K17"/>
      <c r="L17"/>
      <c r="M17"/>
    </row>
    <row r="18" spans="1:13">
      <c r="A18"/>
      <c r="B18"/>
      <c r="C18"/>
      <c r="D18"/>
      <c r="E18"/>
      <c r="F18"/>
      <c r="G18"/>
      <c r="H18"/>
      <c r="I18"/>
      <c r="J18"/>
      <c r="K18"/>
      <c r="L18"/>
      <c r="M18"/>
    </row>
    <row r="19" spans="1:13">
      <c r="A19"/>
      <c r="B19"/>
      <c r="C19"/>
      <c r="D19"/>
      <c r="E19"/>
      <c r="F19"/>
      <c r="G19"/>
      <c r="H19"/>
      <c r="I19"/>
      <c r="J19"/>
      <c r="K19"/>
      <c r="L19"/>
      <c r="M19"/>
    </row>
    <row r="20" spans="1:13">
      <c r="A20"/>
      <c r="B20"/>
      <c r="C20"/>
      <c r="D20"/>
      <c r="E20"/>
      <c r="F20"/>
      <c r="G20"/>
      <c r="H20"/>
      <c r="I20"/>
      <c r="J20"/>
      <c r="K20"/>
      <c r="L20"/>
      <c r="M20"/>
    </row>
    <row r="21" spans="1:13">
      <c r="A21"/>
      <c r="B21"/>
      <c r="C21"/>
      <c r="D21"/>
      <c r="E21"/>
      <c r="F21"/>
      <c r="G21"/>
      <c r="H21"/>
      <c r="I21"/>
      <c r="J21"/>
      <c r="K21"/>
      <c r="L21"/>
      <c r="M21"/>
    </row>
    <row r="22" spans="1:13">
      <c r="A22"/>
      <c r="B22"/>
      <c r="C22"/>
      <c r="D22"/>
      <c r="E22"/>
      <c r="F22"/>
      <c r="G22"/>
      <c r="H22"/>
      <c r="I22"/>
      <c r="J22"/>
      <c r="K22"/>
      <c r="L22"/>
      <c r="M22"/>
    </row>
    <row r="23" spans="1:13">
      <c r="A23"/>
      <c r="B23"/>
      <c r="C23"/>
      <c r="D23"/>
      <c r="E23"/>
      <c r="F23"/>
      <c r="G23"/>
      <c r="H23"/>
      <c r="I23"/>
      <c r="J23"/>
      <c r="K23"/>
      <c r="L23"/>
      <c r="M23"/>
    </row>
    <row r="24" spans="1:13">
      <c r="A24"/>
      <c r="B24"/>
      <c r="C24"/>
      <c r="D24"/>
      <c r="E24"/>
      <c r="F24"/>
      <c r="G24"/>
      <c r="H24"/>
      <c r="I24"/>
      <c r="J24"/>
      <c r="K24"/>
      <c r="L24"/>
      <c r="M24"/>
    </row>
    <row r="25" spans="1:13">
      <c r="A25"/>
      <c r="B25"/>
      <c r="C25"/>
      <c r="D25"/>
      <c r="E25"/>
      <c r="F25"/>
      <c r="G25"/>
      <c r="H25"/>
      <c r="I25"/>
      <c r="J25"/>
      <c r="K25"/>
      <c r="L25"/>
      <c r="M25"/>
    </row>
    <row r="26" spans="1:13">
      <c r="A26"/>
      <c r="B26"/>
      <c r="C26"/>
      <c r="D26"/>
      <c r="E26"/>
      <c r="F26"/>
      <c r="G26"/>
      <c r="H26"/>
      <c r="I26"/>
      <c r="J26"/>
      <c r="K26"/>
      <c r="L26"/>
      <c r="M26"/>
    </row>
    <row r="27" spans="1:13">
      <c r="A27"/>
      <c r="B27"/>
      <c r="C27"/>
      <c r="D27"/>
      <c r="E27"/>
      <c r="F27"/>
      <c r="G27"/>
      <c r="H27"/>
      <c r="I27"/>
      <c r="J27"/>
      <c r="K27"/>
      <c r="L27"/>
      <c r="M27"/>
    </row>
    <row r="28" spans="1:13">
      <c r="A28"/>
      <c r="B28"/>
      <c r="C28"/>
      <c r="D28"/>
      <c r="E28"/>
      <c r="F28"/>
      <c r="G28"/>
      <c r="H28"/>
      <c r="I28"/>
      <c r="J28"/>
      <c r="K28"/>
      <c r="L28"/>
      <c r="M28"/>
    </row>
    <row r="29" spans="1:13">
      <c r="A29"/>
      <c r="B29"/>
      <c r="C29"/>
      <c r="D29"/>
      <c r="E29"/>
      <c r="F29"/>
      <c r="G29"/>
      <c r="H29"/>
      <c r="I29"/>
      <c r="J29"/>
      <c r="K29"/>
      <c r="L29"/>
      <c r="M2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opLeftCell="A7" workbookViewId="0">
      <selection activeCell="B9" sqref="B9"/>
    </sheetView>
  </sheetViews>
  <sheetFormatPr defaultColWidth="8.88888888888889" defaultRowHeight="13.8" outlineLevelCol="6"/>
  <cols>
    <col min="1" max="2" width="36.6666666666667"/>
    <col min="3" max="3" width="19.1111111111111"/>
    <col min="4" max="4" width="20.4444444444444"/>
    <col min="5" max="5" width="5.66666666666667"/>
  </cols>
  <sheetData>
    <row r="1" spans="6:7">
      <c r="F1" s="7"/>
      <c r="G1" s="7"/>
    </row>
    <row r="2" spans="6:7">
      <c r="F2" s="7"/>
      <c r="G2" s="7"/>
    </row>
    <row r="3" spans="6:7">
      <c r="F3" s="7"/>
      <c r="G3" s="7"/>
    </row>
    <row r="4" spans="6:7">
      <c r="F4" s="7"/>
      <c r="G4" s="7"/>
    </row>
    <row r="5" spans="6:7">
      <c r="F5" s="7"/>
      <c r="G5" s="7"/>
    </row>
    <row r="6" spans="6:7">
      <c r="F6" s="7"/>
      <c r="G6" s="7"/>
    </row>
    <row r="7" spans="2:7">
      <c r="B7" s="7" t="s">
        <v>56</v>
      </c>
      <c r="C7" s="7" t="s">
        <v>2</v>
      </c>
      <c r="F7" s="7"/>
      <c r="G7" s="7"/>
    </row>
    <row r="8" spans="2:7">
      <c r="B8" s="7" t="s">
        <v>57</v>
      </c>
      <c r="C8" s="7">
        <v>7</v>
      </c>
      <c r="F8" s="7"/>
      <c r="G8" s="7"/>
    </row>
    <row r="9" spans="2:7">
      <c r="B9" s="7" t="s">
        <v>58</v>
      </c>
      <c r="C9" s="7">
        <v>4</v>
      </c>
      <c r="F9" s="7"/>
      <c r="G9" s="7"/>
    </row>
    <row r="10" spans="2:7">
      <c r="B10" s="7" t="s">
        <v>59</v>
      </c>
      <c r="C10" s="7">
        <v>4</v>
      </c>
      <c r="F10" s="7"/>
      <c r="G10" s="7"/>
    </row>
    <row r="11" spans="2:7">
      <c r="B11" s="7" t="s">
        <v>60</v>
      </c>
      <c r="C11" s="7">
        <v>3</v>
      </c>
      <c r="F11" s="7"/>
      <c r="G11" s="7"/>
    </row>
    <row r="12" spans="2:7">
      <c r="B12" s="7" t="s">
        <v>61</v>
      </c>
      <c r="C12" s="7">
        <v>2</v>
      </c>
      <c r="F12" s="7"/>
      <c r="G12" s="7"/>
    </row>
    <row r="13" spans="2:7">
      <c r="B13" s="7" t="s">
        <v>9</v>
      </c>
      <c r="C13" s="7">
        <v>20</v>
      </c>
      <c r="F13" s="7"/>
      <c r="G13" s="7"/>
    </row>
    <row r="14" spans="6:7">
      <c r="F14" s="7"/>
      <c r="G14" s="7"/>
    </row>
    <row r="15" spans="6:7">
      <c r="F15" s="7"/>
      <c r="G15" s="7"/>
    </row>
    <row r="16" spans="6:7">
      <c r="F16" s="7"/>
      <c r="G16" s="7"/>
    </row>
    <row r="17" spans="6:7">
      <c r="F17" s="7"/>
      <c r="G17" s="7"/>
    </row>
    <row r="18" spans="6:7">
      <c r="F18" s="7"/>
      <c r="G18" s="7"/>
    </row>
    <row r="19" spans="6:7">
      <c r="F19" s="7"/>
      <c r="G19" s="7"/>
    </row>
    <row r="20" spans="6:7">
      <c r="F20" s="7"/>
      <c r="G20" s="7"/>
    </row>
    <row r="21" spans="6:7">
      <c r="F21" s="7"/>
      <c r="G21" s="7"/>
    </row>
    <row r="22" spans="6:7">
      <c r="F22" s="7"/>
      <c r="G22" s="7"/>
    </row>
    <row r="23" spans="6:7">
      <c r="F23" s="7"/>
      <c r="G23" s="7"/>
    </row>
    <row r="24" spans="6:7">
      <c r="F24" s="7"/>
      <c r="G24" s="7"/>
    </row>
    <row r="25" spans="6:7">
      <c r="F25" s="7"/>
      <c r="G25" s="7"/>
    </row>
    <row r="26" spans="6:7">
      <c r="F26" s="7"/>
      <c r="G26" s="7"/>
    </row>
    <row r="27" spans="6:7">
      <c r="F27" s="7"/>
      <c r="G27" s="7"/>
    </row>
    <row r="28" spans="6:7">
      <c r="F28" s="7"/>
      <c r="G28" s="7"/>
    </row>
    <row r="29" spans="6:7">
      <c r="F29" s="7"/>
      <c r="G29" s="7"/>
    </row>
    <row r="30" spans="6:7">
      <c r="F30" s="7"/>
      <c r="G30" s="7"/>
    </row>
    <row r="31" spans="6:7">
      <c r="F31" s="7"/>
      <c r="G31" s="7"/>
    </row>
    <row r="32" spans="6:7">
      <c r="F32" s="7"/>
      <c r="G32" s="7"/>
    </row>
    <row r="33" spans="6:7">
      <c r="F33" s="7"/>
      <c r="G33" s="7"/>
    </row>
    <row r="34" spans="1:7">
      <c r="A34" s="7"/>
      <c r="B34" s="7"/>
      <c r="C34" s="7"/>
      <c r="D34" s="7"/>
      <c r="E34" s="7"/>
      <c r="F34" s="7"/>
      <c r="G34" s="7"/>
    </row>
    <row r="35" spans="1:7">
      <c r="A35" s="7"/>
      <c r="B35" s="7"/>
      <c r="C35" s="7"/>
      <c r="D35" s="7"/>
      <c r="E35" s="7"/>
      <c r="F35" s="7"/>
      <c r="G35" s="7"/>
    </row>
    <row r="36" spans="1:7">
      <c r="A36" s="7"/>
      <c r="B36" s="7"/>
      <c r="C36" s="7"/>
      <c r="D36" s="7"/>
      <c r="E36" s="7"/>
      <c r="F36" s="7"/>
      <c r="G36" s="7"/>
    </row>
    <row r="37" spans="1:7">
      <c r="A37" s="7"/>
      <c r="B37" s="7"/>
      <c r="C37" s="7"/>
      <c r="D37" s="7"/>
      <c r="E37" s="7"/>
      <c r="F37" s="7"/>
      <c r="G37" s="7"/>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tabSelected="1" workbookViewId="0">
      <selection activeCell="N15" sqref="N15"/>
    </sheetView>
  </sheetViews>
  <sheetFormatPr defaultColWidth="8.88888888888889" defaultRowHeight="13.8" outlineLevelRow="7" outlineLevelCol="1"/>
  <cols>
    <col min="1" max="1" width="11.6666666666667"/>
    <col min="2" max="2" width="19.1111111111111"/>
  </cols>
  <sheetData>
    <row r="3" spans="1:2">
      <c r="A3" t="s">
        <v>3</v>
      </c>
      <c r="B3" t="s">
        <v>55</v>
      </c>
    </row>
    <row r="4" spans="1:2">
      <c r="A4" t="s">
        <v>5</v>
      </c>
      <c r="B4">
        <v>8</v>
      </c>
    </row>
    <row r="5" spans="1:2">
      <c r="A5" t="s">
        <v>6</v>
      </c>
      <c r="B5">
        <v>10</v>
      </c>
    </row>
    <row r="6" spans="1:2">
      <c r="A6" t="s">
        <v>7</v>
      </c>
      <c r="B6">
        <v>25</v>
      </c>
    </row>
    <row r="7" spans="1:2">
      <c r="A7" t="s">
        <v>8</v>
      </c>
      <c r="B7">
        <v>7</v>
      </c>
    </row>
    <row r="8" spans="1:2">
      <c r="A8" t="s">
        <v>9</v>
      </c>
      <c r="B8">
        <v>50</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6"/>
  <sheetViews>
    <sheetView workbookViewId="0">
      <selection activeCell="J17" sqref="J17"/>
    </sheetView>
  </sheetViews>
  <sheetFormatPr defaultColWidth="8.88888888888889" defaultRowHeight="13.8" outlineLevelCol="1"/>
  <cols>
    <col min="1" max="1" width="7.66666666666667"/>
    <col min="2" max="2" width="19.1111111111111"/>
    <col min="3" max="4" width="18.4444444444444"/>
    <col min="5" max="5" width="5.66666666666667"/>
  </cols>
  <sheetData>
    <row r="3" spans="1:2">
      <c r="A3" t="s">
        <v>62</v>
      </c>
      <c r="B3" t="s">
        <v>55</v>
      </c>
    </row>
    <row r="4" spans="1:2">
      <c r="A4" t="s">
        <v>63</v>
      </c>
      <c r="B4">
        <v>1</v>
      </c>
    </row>
    <row r="5" spans="1:2">
      <c r="A5" t="s">
        <v>64</v>
      </c>
      <c r="B5">
        <v>2</v>
      </c>
    </row>
    <row r="6" spans="1:2">
      <c r="A6" t="s">
        <v>65</v>
      </c>
      <c r="B6">
        <v>6</v>
      </c>
    </row>
    <row r="7" spans="1:2">
      <c r="A7" t="s">
        <v>66</v>
      </c>
      <c r="B7">
        <v>7</v>
      </c>
    </row>
    <row r="8" spans="1:2">
      <c r="A8" t="s">
        <v>67</v>
      </c>
      <c r="B8">
        <v>10</v>
      </c>
    </row>
    <row r="9" spans="1:2">
      <c r="A9" t="s">
        <v>68</v>
      </c>
      <c r="B9">
        <v>7</v>
      </c>
    </row>
    <row r="10" spans="1:2">
      <c r="A10" t="s">
        <v>69</v>
      </c>
      <c r="B10">
        <v>1</v>
      </c>
    </row>
    <row r="11" spans="1:2">
      <c r="A11" t="s">
        <v>70</v>
      </c>
      <c r="B11">
        <v>3</v>
      </c>
    </row>
    <row r="12" spans="1:2">
      <c r="A12" t="s">
        <v>71</v>
      </c>
      <c r="B12">
        <v>2</v>
      </c>
    </row>
    <row r="13" spans="1:2">
      <c r="A13" t="s">
        <v>72</v>
      </c>
      <c r="B13">
        <v>5</v>
      </c>
    </row>
    <row r="14" spans="1:2">
      <c r="A14" t="s">
        <v>73</v>
      </c>
      <c r="B14">
        <v>3</v>
      </c>
    </row>
    <row r="15" spans="1:2">
      <c r="A15" t="s">
        <v>74</v>
      </c>
      <c r="B15">
        <v>3</v>
      </c>
    </row>
    <row r="16" spans="1:2">
      <c r="A16" t="s">
        <v>9</v>
      </c>
      <c r="B16">
        <v>50</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1"/>
  <sheetViews>
    <sheetView zoomScale="85" zoomScaleNormal="85" workbookViewId="0">
      <selection activeCell="E15" sqref="E15"/>
    </sheetView>
  </sheetViews>
  <sheetFormatPr defaultColWidth="9" defaultRowHeight="13.8"/>
  <cols>
    <col min="1" max="1" width="17.6759259259259" customWidth="1"/>
    <col min="2" max="3" width="17.0092592592593" customWidth="1"/>
    <col min="4" max="4" width="18.1574074074074" customWidth="1"/>
    <col min="5" max="5" width="22.0833333333333" customWidth="1"/>
    <col min="6" max="6" width="14.1111111111111" customWidth="1"/>
    <col min="7" max="7" width="14.7777777777778" customWidth="1"/>
    <col min="8" max="8" width="11.8888888888889" customWidth="1"/>
    <col min="9" max="9" width="16.3333333333333" customWidth="1"/>
    <col min="10" max="10" width="14.3333333333333" customWidth="1"/>
    <col min="11" max="11" width="17.7777777777778" customWidth="1"/>
    <col min="12" max="12" width="20.7777777777778" customWidth="1"/>
    <col min="13" max="16" width="11.7777777777778" customWidth="1"/>
    <col min="17" max="17" width="18.2222222222222" customWidth="1"/>
    <col min="18" max="18" width="13.8888888888889" customWidth="1"/>
    <col min="19" max="19" width="11.4444444444444" style="4"/>
  </cols>
  <sheetData>
    <row r="1" spans="1:19">
      <c r="A1" t="s">
        <v>33</v>
      </c>
      <c r="B1" t="s">
        <v>75</v>
      </c>
      <c r="C1" t="s">
        <v>76</v>
      </c>
      <c r="D1" t="s">
        <v>77</v>
      </c>
      <c r="E1" t="s">
        <v>78</v>
      </c>
      <c r="F1" t="s">
        <v>79</v>
      </c>
      <c r="G1" t="s">
        <v>80</v>
      </c>
      <c r="H1" s="4" t="s">
        <v>81</v>
      </c>
      <c r="I1" t="s">
        <v>82</v>
      </c>
      <c r="J1" t="s">
        <v>56</v>
      </c>
      <c r="K1" t="s">
        <v>83</v>
      </c>
      <c r="L1" t="s">
        <v>84</v>
      </c>
      <c r="M1" t="s">
        <v>85</v>
      </c>
      <c r="N1" t="s">
        <v>4</v>
      </c>
      <c r="O1" t="s">
        <v>0</v>
      </c>
      <c r="P1" t="s">
        <v>3</v>
      </c>
      <c r="Q1" t="s">
        <v>53</v>
      </c>
      <c r="R1" t="s">
        <v>86</v>
      </c>
      <c r="S1" s="4" t="s">
        <v>62</v>
      </c>
    </row>
    <row r="2" spans="1:19">
      <c r="A2" s="5" t="s">
        <v>44</v>
      </c>
      <c r="B2" s="5" t="s">
        <v>87</v>
      </c>
      <c r="C2" s="5" t="s">
        <v>44</v>
      </c>
      <c r="D2" s="5" t="s">
        <v>87</v>
      </c>
      <c r="E2" s="5" t="s">
        <v>88</v>
      </c>
      <c r="F2" s="5" t="s">
        <v>89</v>
      </c>
      <c r="G2" s="5" t="s">
        <v>90</v>
      </c>
      <c r="H2" s="4">
        <v>44701</v>
      </c>
      <c r="I2" s="5" t="s">
        <v>90</v>
      </c>
      <c r="J2" s="5" t="s">
        <v>91</v>
      </c>
      <c r="K2" t="s">
        <v>92</v>
      </c>
      <c r="L2" s="5" t="s">
        <v>93</v>
      </c>
      <c r="M2" t="s">
        <v>21</v>
      </c>
      <c r="N2" t="s">
        <v>21</v>
      </c>
      <c r="O2" t="s">
        <v>94</v>
      </c>
      <c r="P2" t="s">
        <v>7</v>
      </c>
      <c r="Q2" s="5" t="str">
        <f t="shared" ref="Q2:Q51" si="0">IF(OR(N2="新疆",N2="宁夏",N2="青海",N2="甘肃",N2="贵州",N2="山西",N2="吉林",N2="龙江",N2="海南",N2="西藏"),"欠发达地区",IF(OR(N2="北京",N2="上海",N2="广东",N2="江苏",N2="浙江",N2="山东",N2="福建",N2="重庆",N2="湖北",N2="天津"),"发达地区","普通地区"))</f>
        <v>普通地区</v>
      </c>
      <c r="R2" s="5" t="str">
        <f t="shared" ref="R2:R51" si="1">IF(ISNUMBER(FIND("有限公司",A2)),"有限公司",IF(ISNUMBER(FIND("股份公司",A2)),"股份公司",IF(ISNUMBER(FIND("合作社",A2)),"合作社",IF(ISNUMBER(FIND("个体",A2)),"个体户","其他"))))</f>
        <v>其他</v>
      </c>
      <c r="S2" s="4">
        <f t="shared" ref="S2:S51" si="2">H2</f>
        <v>44701</v>
      </c>
    </row>
    <row r="3" spans="1:19">
      <c r="A3" s="5" t="s">
        <v>95</v>
      </c>
      <c r="B3" s="5" t="s">
        <v>96</v>
      </c>
      <c r="C3" s="5" t="s">
        <v>97</v>
      </c>
      <c r="D3" s="5" t="s">
        <v>98</v>
      </c>
      <c r="E3" s="5" t="s">
        <v>99</v>
      </c>
      <c r="F3" s="5" t="s">
        <v>100</v>
      </c>
      <c r="G3" s="5" t="s">
        <v>101</v>
      </c>
      <c r="H3" s="4">
        <v>45293</v>
      </c>
      <c r="I3" s="5" t="s">
        <v>102</v>
      </c>
      <c r="J3" s="5" t="s">
        <v>103</v>
      </c>
      <c r="K3" t="s">
        <v>104</v>
      </c>
      <c r="L3" s="5" t="s">
        <v>105</v>
      </c>
      <c r="M3" t="s">
        <v>17</v>
      </c>
      <c r="N3" t="s">
        <v>20</v>
      </c>
      <c r="O3" t="s">
        <v>106</v>
      </c>
      <c r="P3" t="s">
        <v>5</v>
      </c>
      <c r="Q3" s="5" t="str">
        <f t="shared" si="0"/>
        <v>欠发达地区</v>
      </c>
      <c r="R3" s="5" t="str">
        <f t="shared" si="1"/>
        <v>有限公司</v>
      </c>
      <c r="S3" s="4">
        <f t="shared" si="2"/>
        <v>45293</v>
      </c>
    </row>
    <row r="4" spans="1:19">
      <c r="A4" s="5" t="s">
        <v>107</v>
      </c>
      <c r="B4" s="5" t="s">
        <v>108</v>
      </c>
      <c r="C4" s="5" t="s">
        <v>109</v>
      </c>
      <c r="D4" s="5" t="s">
        <v>110</v>
      </c>
      <c r="E4" s="5" t="s">
        <v>111</v>
      </c>
      <c r="F4" s="5" t="s">
        <v>112</v>
      </c>
      <c r="G4" s="5" t="s">
        <v>101</v>
      </c>
      <c r="H4" s="4">
        <v>45343</v>
      </c>
      <c r="I4" s="5" t="s">
        <v>113</v>
      </c>
      <c r="J4" s="5" t="s">
        <v>114</v>
      </c>
      <c r="K4" t="s">
        <v>115</v>
      </c>
      <c r="L4" s="5" t="s">
        <v>116</v>
      </c>
      <c r="M4" t="s">
        <v>16</v>
      </c>
      <c r="N4" t="s">
        <v>16</v>
      </c>
      <c r="O4" t="s">
        <v>94</v>
      </c>
      <c r="P4" t="s">
        <v>7</v>
      </c>
      <c r="Q4" s="5" t="str">
        <f t="shared" si="0"/>
        <v>发达地区</v>
      </c>
      <c r="R4" s="5" t="str">
        <f t="shared" si="1"/>
        <v>有限公司</v>
      </c>
      <c r="S4" s="4">
        <f t="shared" si="2"/>
        <v>45343</v>
      </c>
    </row>
    <row r="5" spans="1:19">
      <c r="A5" s="5" t="s">
        <v>34</v>
      </c>
      <c r="B5" s="5" t="s">
        <v>117</v>
      </c>
      <c r="C5" s="5" t="s">
        <v>118</v>
      </c>
      <c r="D5" s="5" t="s">
        <v>119</v>
      </c>
      <c r="E5" s="5" t="s">
        <v>120</v>
      </c>
      <c r="F5" s="5" t="s">
        <v>121</v>
      </c>
      <c r="G5" s="5" t="s">
        <v>122</v>
      </c>
      <c r="H5" s="4">
        <v>45361</v>
      </c>
      <c r="I5" s="5" t="s">
        <v>102</v>
      </c>
      <c r="J5" s="5" t="s">
        <v>123</v>
      </c>
      <c r="K5" t="s">
        <v>124</v>
      </c>
      <c r="L5" s="5" t="s">
        <v>125</v>
      </c>
      <c r="M5" t="s">
        <v>25</v>
      </c>
      <c r="N5" t="s">
        <v>10</v>
      </c>
      <c r="O5" t="s">
        <v>106</v>
      </c>
      <c r="P5" t="s">
        <v>5</v>
      </c>
      <c r="Q5" s="5" t="str">
        <f t="shared" si="0"/>
        <v>普通地区</v>
      </c>
      <c r="R5" s="5" t="str">
        <f t="shared" si="1"/>
        <v>有限公司</v>
      </c>
      <c r="S5" s="4">
        <f t="shared" si="2"/>
        <v>45361</v>
      </c>
    </row>
    <row r="6" spans="1:19">
      <c r="A6" s="5" t="s">
        <v>34</v>
      </c>
      <c r="B6" s="5" t="s">
        <v>117</v>
      </c>
      <c r="C6" s="5" t="s">
        <v>118</v>
      </c>
      <c r="D6" s="5" t="s">
        <v>119</v>
      </c>
      <c r="E6" s="5" t="s">
        <v>120</v>
      </c>
      <c r="F6" s="5" t="s">
        <v>121</v>
      </c>
      <c r="G6" s="5" t="s">
        <v>122</v>
      </c>
      <c r="H6" s="4">
        <v>45361</v>
      </c>
      <c r="I6" s="5" t="s">
        <v>102</v>
      </c>
      <c r="J6" s="5" t="s">
        <v>126</v>
      </c>
      <c r="K6" t="s">
        <v>127</v>
      </c>
      <c r="L6" s="5" t="s">
        <v>128</v>
      </c>
      <c r="M6" t="s">
        <v>25</v>
      </c>
      <c r="N6" t="s">
        <v>10</v>
      </c>
      <c r="O6" t="s">
        <v>106</v>
      </c>
      <c r="P6" t="s">
        <v>5</v>
      </c>
      <c r="Q6" s="5" t="str">
        <f t="shared" si="0"/>
        <v>普通地区</v>
      </c>
      <c r="R6" s="5" t="str">
        <f t="shared" si="1"/>
        <v>有限公司</v>
      </c>
      <c r="S6" s="4">
        <f t="shared" si="2"/>
        <v>45361</v>
      </c>
    </row>
    <row r="7" spans="1:19">
      <c r="A7" s="5" t="s">
        <v>34</v>
      </c>
      <c r="B7" s="5" t="s">
        <v>117</v>
      </c>
      <c r="C7" s="5" t="s">
        <v>118</v>
      </c>
      <c r="D7" s="5" t="s">
        <v>119</v>
      </c>
      <c r="E7" s="5" t="s">
        <v>120</v>
      </c>
      <c r="F7" s="5" t="s">
        <v>121</v>
      </c>
      <c r="G7" s="5" t="s">
        <v>122</v>
      </c>
      <c r="H7" s="4">
        <v>45361</v>
      </c>
      <c r="I7" s="5" t="s">
        <v>102</v>
      </c>
      <c r="J7" s="5" t="s">
        <v>129</v>
      </c>
      <c r="K7" t="s">
        <v>130</v>
      </c>
      <c r="L7" s="5" t="s">
        <v>131</v>
      </c>
      <c r="M7" t="s">
        <v>25</v>
      </c>
      <c r="N7" t="s">
        <v>10</v>
      </c>
      <c r="O7" t="s">
        <v>106</v>
      </c>
      <c r="P7" t="s">
        <v>5</v>
      </c>
      <c r="Q7" s="5" t="str">
        <f t="shared" si="0"/>
        <v>普通地区</v>
      </c>
      <c r="R7" s="5" t="str">
        <f t="shared" si="1"/>
        <v>有限公司</v>
      </c>
      <c r="S7" s="4">
        <f t="shared" si="2"/>
        <v>45361</v>
      </c>
    </row>
    <row r="8" spans="1:19">
      <c r="A8" s="5" t="s">
        <v>132</v>
      </c>
      <c r="B8" s="5" t="s">
        <v>133</v>
      </c>
      <c r="C8" s="5" t="s">
        <v>134</v>
      </c>
      <c r="D8" s="5" t="s">
        <v>135</v>
      </c>
      <c r="E8" s="5" t="s">
        <v>136</v>
      </c>
      <c r="F8" s="5" t="s">
        <v>137</v>
      </c>
      <c r="G8" s="5" t="s">
        <v>138</v>
      </c>
      <c r="H8" s="4">
        <v>45367</v>
      </c>
      <c r="I8" s="5" t="s">
        <v>139</v>
      </c>
      <c r="J8" s="5" t="s">
        <v>140</v>
      </c>
      <c r="K8" t="s">
        <v>141</v>
      </c>
      <c r="L8" s="5" t="s">
        <v>142</v>
      </c>
      <c r="M8" t="s">
        <v>16</v>
      </c>
      <c r="N8" t="s">
        <v>17</v>
      </c>
      <c r="O8" t="s">
        <v>106</v>
      </c>
      <c r="P8" t="s">
        <v>6</v>
      </c>
      <c r="Q8" s="5" t="str">
        <f t="shared" si="0"/>
        <v>发达地区</v>
      </c>
      <c r="R8" s="5" t="str">
        <f t="shared" si="1"/>
        <v>有限公司</v>
      </c>
      <c r="S8" s="4">
        <f t="shared" si="2"/>
        <v>45367</v>
      </c>
    </row>
    <row r="9" spans="1:19">
      <c r="A9" s="5" t="s">
        <v>50</v>
      </c>
      <c r="B9" s="5" t="s">
        <v>143</v>
      </c>
      <c r="C9" s="5" t="s">
        <v>144</v>
      </c>
      <c r="D9" s="5" t="s">
        <v>145</v>
      </c>
      <c r="E9" s="5" t="s">
        <v>146</v>
      </c>
      <c r="F9" s="5" t="s">
        <v>147</v>
      </c>
      <c r="G9" s="5" t="s">
        <v>148</v>
      </c>
      <c r="H9" s="4">
        <v>45418</v>
      </c>
      <c r="I9" s="5" t="s">
        <v>149</v>
      </c>
      <c r="J9" s="5" t="s">
        <v>150</v>
      </c>
      <c r="K9" t="s">
        <v>151</v>
      </c>
      <c r="L9" s="5" t="s">
        <v>152</v>
      </c>
      <c r="M9" t="s">
        <v>25</v>
      </c>
      <c r="N9" t="s">
        <v>21</v>
      </c>
      <c r="O9" t="s">
        <v>106</v>
      </c>
      <c r="P9" t="s">
        <v>7</v>
      </c>
      <c r="Q9" s="5" t="str">
        <f t="shared" si="0"/>
        <v>普通地区</v>
      </c>
      <c r="R9" s="5" t="str">
        <f t="shared" si="1"/>
        <v>有限公司</v>
      </c>
      <c r="S9" s="4">
        <f t="shared" si="2"/>
        <v>45418</v>
      </c>
    </row>
    <row r="10" spans="1:19">
      <c r="A10" s="5" t="s">
        <v>153</v>
      </c>
      <c r="B10" s="5" t="s">
        <v>154</v>
      </c>
      <c r="C10" s="5" t="s">
        <v>134</v>
      </c>
      <c r="D10" s="5" t="s">
        <v>135</v>
      </c>
      <c r="E10" s="5" t="s">
        <v>155</v>
      </c>
      <c r="F10" s="5" t="s">
        <v>156</v>
      </c>
      <c r="G10" s="5" t="s">
        <v>157</v>
      </c>
      <c r="H10" s="4">
        <v>45443</v>
      </c>
      <c r="I10" s="5" t="s">
        <v>158</v>
      </c>
      <c r="J10" s="5" t="s">
        <v>140</v>
      </c>
      <c r="K10" t="s">
        <v>159</v>
      </c>
      <c r="L10" s="5" t="s">
        <v>142</v>
      </c>
      <c r="M10" t="s">
        <v>16</v>
      </c>
      <c r="N10" t="s">
        <v>17</v>
      </c>
      <c r="O10" t="s">
        <v>106</v>
      </c>
      <c r="P10" t="s">
        <v>8</v>
      </c>
      <c r="Q10" s="5" t="str">
        <f t="shared" si="0"/>
        <v>发达地区</v>
      </c>
      <c r="R10" s="5" t="str">
        <f t="shared" si="1"/>
        <v>有限公司</v>
      </c>
      <c r="S10" s="4">
        <f t="shared" si="2"/>
        <v>45443</v>
      </c>
    </row>
    <row r="11" spans="1:19">
      <c r="A11" s="5" t="s">
        <v>160</v>
      </c>
      <c r="B11" s="5" t="s">
        <v>161</v>
      </c>
      <c r="C11" s="5" t="s">
        <v>162</v>
      </c>
      <c r="D11" s="5" t="s">
        <v>163</v>
      </c>
      <c r="E11" s="5" t="s">
        <v>164</v>
      </c>
      <c r="F11" s="5" t="s">
        <v>165</v>
      </c>
      <c r="G11" s="5" t="s">
        <v>166</v>
      </c>
      <c r="H11" s="4">
        <v>45461</v>
      </c>
      <c r="I11" s="5" t="s">
        <v>167</v>
      </c>
      <c r="J11" s="5" t="s">
        <v>168</v>
      </c>
      <c r="K11" t="s">
        <v>169</v>
      </c>
      <c r="L11" s="5" t="s">
        <v>170</v>
      </c>
      <c r="M11" t="s">
        <v>16</v>
      </c>
      <c r="N11" t="s">
        <v>16</v>
      </c>
      <c r="O11" t="s">
        <v>94</v>
      </c>
      <c r="P11" t="s">
        <v>6</v>
      </c>
      <c r="Q11" s="5" t="str">
        <f t="shared" si="0"/>
        <v>发达地区</v>
      </c>
      <c r="R11" s="5" t="str">
        <f t="shared" si="1"/>
        <v>有限公司</v>
      </c>
      <c r="S11" s="4">
        <f t="shared" si="2"/>
        <v>45461</v>
      </c>
    </row>
    <row r="12" spans="1:19">
      <c r="A12" s="5" t="s">
        <v>49</v>
      </c>
      <c r="B12" s="5" t="s">
        <v>171</v>
      </c>
      <c r="C12" s="5" t="s">
        <v>172</v>
      </c>
      <c r="D12" s="5" t="s">
        <v>173</v>
      </c>
      <c r="E12" s="5" t="s">
        <v>174</v>
      </c>
      <c r="F12" s="5" t="s">
        <v>175</v>
      </c>
      <c r="G12" s="5" t="s">
        <v>90</v>
      </c>
      <c r="H12" s="4">
        <v>45469</v>
      </c>
      <c r="I12" s="5" t="s">
        <v>176</v>
      </c>
      <c r="J12" s="5" t="s">
        <v>58</v>
      </c>
      <c r="K12" t="s">
        <v>177</v>
      </c>
      <c r="L12" s="5" t="s">
        <v>178</v>
      </c>
      <c r="M12" t="s">
        <v>25</v>
      </c>
      <c r="N12" t="s">
        <v>25</v>
      </c>
      <c r="O12" t="s">
        <v>94</v>
      </c>
      <c r="P12" t="s">
        <v>8</v>
      </c>
      <c r="Q12" s="5" t="str">
        <f t="shared" si="0"/>
        <v>普通地区</v>
      </c>
      <c r="R12" s="5" t="str">
        <f t="shared" si="1"/>
        <v>有限公司</v>
      </c>
      <c r="S12" s="4">
        <f t="shared" si="2"/>
        <v>45469</v>
      </c>
    </row>
    <row r="13" spans="1:19">
      <c r="A13" s="5" t="s">
        <v>42</v>
      </c>
      <c r="B13" s="5" t="s">
        <v>179</v>
      </c>
      <c r="C13" s="5" t="s">
        <v>180</v>
      </c>
      <c r="D13" s="5" t="s">
        <v>181</v>
      </c>
      <c r="E13" s="5" t="s">
        <v>182</v>
      </c>
      <c r="F13" s="5" t="s">
        <v>183</v>
      </c>
      <c r="G13" s="5" t="s">
        <v>90</v>
      </c>
      <c r="H13" s="4">
        <v>45481</v>
      </c>
      <c r="I13" s="5" t="s">
        <v>184</v>
      </c>
      <c r="J13" s="5" t="s">
        <v>185</v>
      </c>
      <c r="K13" t="s">
        <v>186</v>
      </c>
      <c r="L13" s="5" t="s">
        <v>187</v>
      </c>
      <c r="M13" t="s">
        <v>13</v>
      </c>
      <c r="N13" t="s">
        <v>13</v>
      </c>
      <c r="O13" t="s">
        <v>94</v>
      </c>
      <c r="P13" t="s">
        <v>5</v>
      </c>
      <c r="Q13" s="5" t="str">
        <f t="shared" si="0"/>
        <v>欠发达地区</v>
      </c>
      <c r="R13" s="5" t="str">
        <f t="shared" si="1"/>
        <v>其他</v>
      </c>
      <c r="S13" s="4">
        <f t="shared" si="2"/>
        <v>45481</v>
      </c>
    </row>
    <row r="14" spans="1:19">
      <c r="A14" s="5" t="s">
        <v>188</v>
      </c>
      <c r="B14" s="5" t="s">
        <v>189</v>
      </c>
      <c r="C14" s="5" t="s">
        <v>190</v>
      </c>
      <c r="D14" s="5" t="s">
        <v>191</v>
      </c>
      <c r="E14" s="5" t="s">
        <v>192</v>
      </c>
      <c r="F14" s="5" t="s">
        <v>193</v>
      </c>
      <c r="G14" s="5" t="s">
        <v>194</v>
      </c>
      <c r="H14" s="4">
        <v>45488</v>
      </c>
      <c r="I14" s="5" t="s">
        <v>195</v>
      </c>
      <c r="J14" s="5" t="s">
        <v>58</v>
      </c>
      <c r="K14" t="s">
        <v>196</v>
      </c>
      <c r="L14" s="5" t="s">
        <v>197</v>
      </c>
      <c r="M14" t="s">
        <v>11</v>
      </c>
      <c r="N14" t="s">
        <v>11</v>
      </c>
      <c r="O14" t="s">
        <v>94</v>
      </c>
      <c r="P14" t="s">
        <v>7</v>
      </c>
      <c r="Q14" s="5" t="str">
        <f t="shared" si="0"/>
        <v>发达地区</v>
      </c>
      <c r="R14" s="5" t="str">
        <f t="shared" si="1"/>
        <v>有限公司</v>
      </c>
      <c r="S14" s="4">
        <f t="shared" si="2"/>
        <v>45488</v>
      </c>
    </row>
    <row r="15" spans="1:19">
      <c r="A15" s="5" t="s">
        <v>198</v>
      </c>
      <c r="B15" s="5" t="s">
        <v>199</v>
      </c>
      <c r="C15" s="5" t="s">
        <v>198</v>
      </c>
      <c r="D15" s="5" t="s">
        <v>199</v>
      </c>
      <c r="E15" s="5" t="s">
        <v>200</v>
      </c>
      <c r="F15" s="5" t="s">
        <v>201</v>
      </c>
      <c r="G15" s="5" t="s">
        <v>202</v>
      </c>
      <c r="H15" s="4">
        <v>45488</v>
      </c>
      <c r="I15" s="5" t="s">
        <v>195</v>
      </c>
      <c r="J15" s="5" t="s">
        <v>58</v>
      </c>
      <c r="K15" t="s">
        <v>203</v>
      </c>
      <c r="L15" s="5" t="s">
        <v>197</v>
      </c>
      <c r="M15" t="s">
        <v>25</v>
      </c>
      <c r="N15" t="s">
        <v>25</v>
      </c>
      <c r="O15" t="s">
        <v>94</v>
      </c>
      <c r="P15" t="s">
        <v>7</v>
      </c>
      <c r="Q15" s="5" t="str">
        <f t="shared" si="0"/>
        <v>普通地区</v>
      </c>
      <c r="R15" s="5" t="str">
        <f t="shared" si="1"/>
        <v>有限公司</v>
      </c>
      <c r="S15" s="4">
        <f t="shared" si="2"/>
        <v>45488</v>
      </c>
    </row>
    <row r="16" spans="1:19">
      <c r="A16" s="5" t="s">
        <v>204</v>
      </c>
      <c r="B16" s="5" t="s">
        <v>205</v>
      </c>
      <c r="C16" s="5" t="s">
        <v>206</v>
      </c>
      <c r="D16" s="5" t="s">
        <v>207</v>
      </c>
      <c r="E16" s="5" t="s">
        <v>208</v>
      </c>
      <c r="F16" s="5" t="s">
        <v>209</v>
      </c>
      <c r="G16" s="5" t="s">
        <v>210</v>
      </c>
      <c r="H16" s="4">
        <v>45491</v>
      </c>
      <c r="I16" s="5" t="s">
        <v>211</v>
      </c>
      <c r="J16" s="5" t="s">
        <v>58</v>
      </c>
      <c r="K16" t="s">
        <v>212</v>
      </c>
      <c r="L16" s="5" t="s">
        <v>213</v>
      </c>
      <c r="M16" t="s">
        <v>18</v>
      </c>
      <c r="N16" t="s">
        <v>18</v>
      </c>
      <c r="O16" t="s">
        <v>94</v>
      </c>
      <c r="P16" t="s">
        <v>8</v>
      </c>
      <c r="Q16" s="5" t="str">
        <f t="shared" si="0"/>
        <v>发达地区</v>
      </c>
      <c r="R16" s="5" t="str">
        <f t="shared" si="1"/>
        <v>有限公司</v>
      </c>
      <c r="S16" s="4">
        <f t="shared" si="2"/>
        <v>45491</v>
      </c>
    </row>
    <row r="17" spans="1:19">
      <c r="A17" s="5" t="s">
        <v>214</v>
      </c>
      <c r="B17" s="5" t="s">
        <v>215</v>
      </c>
      <c r="C17" s="5" t="s">
        <v>216</v>
      </c>
      <c r="D17" s="5" t="s">
        <v>217</v>
      </c>
      <c r="E17" s="5" t="s">
        <v>218</v>
      </c>
      <c r="F17" s="5" t="s">
        <v>209</v>
      </c>
      <c r="G17" s="5" t="s">
        <v>219</v>
      </c>
      <c r="H17" s="4">
        <v>45497</v>
      </c>
      <c r="I17" s="5" t="s">
        <v>149</v>
      </c>
      <c r="J17" s="5" t="s">
        <v>220</v>
      </c>
      <c r="K17" t="s">
        <v>221</v>
      </c>
      <c r="L17" s="5" t="s">
        <v>93</v>
      </c>
      <c r="M17" t="s">
        <v>18</v>
      </c>
      <c r="N17" t="s">
        <v>15</v>
      </c>
      <c r="O17" t="s">
        <v>106</v>
      </c>
      <c r="P17" t="s">
        <v>7</v>
      </c>
      <c r="Q17" s="5" t="str">
        <f t="shared" si="0"/>
        <v>普通地区</v>
      </c>
      <c r="R17" s="5" t="str">
        <f t="shared" si="1"/>
        <v>有限公司</v>
      </c>
      <c r="S17" s="4">
        <f t="shared" si="2"/>
        <v>45497</v>
      </c>
    </row>
    <row r="18" spans="1:19">
      <c r="A18" s="5" t="s">
        <v>222</v>
      </c>
      <c r="B18" s="5" t="s">
        <v>223</v>
      </c>
      <c r="C18" s="5" t="s">
        <v>224</v>
      </c>
      <c r="D18" s="5" t="s">
        <v>225</v>
      </c>
      <c r="E18" s="5" t="s">
        <v>226</v>
      </c>
      <c r="F18" s="5" t="s">
        <v>227</v>
      </c>
      <c r="G18" s="5" t="s">
        <v>90</v>
      </c>
      <c r="H18" s="4">
        <v>45510</v>
      </c>
      <c r="I18" s="5" t="s">
        <v>228</v>
      </c>
      <c r="J18" s="5" t="s">
        <v>229</v>
      </c>
      <c r="K18" t="s">
        <v>230</v>
      </c>
      <c r="L18" s="5" t="s">
        <v>231</v>
      </c>
      <c r="M18" t="s">
        <v>12</v>
      </c>
      <c r="N18" t="s">
        <v>12</v>
      </c>
      <c r="O18" t="s">
        <v>94</v>
      </c>
      <c r="P18" t="s">
        <v>5</v>
      </c>
      <c r="Q18" s="5" t="str">
        <f t="shared" si="0"/>
        <v>欠发达地区</v>
      </c>
      <c r="R18" s="5" t="str">
        <f t="shared" si="1"/>
        <v>有限公司</v>
      </c>
      <c r="S18" s="4">
        <f t="shared" si="2"/>
        <v>45510</v>
      </c>
    </row>
    <row r="19" spans="1:19">
      <c r="A19" s="5" t="s">
        <v>232</v>
      </c>
      <c r="B19" s="5" t="s">
        <v>233</v>
      </c>
      <c r="C19" s="5" t="s">
        <v>234</v>
      </c>
      <c r="D19" s="5" t="s">
        <v>235</v>
      </c>
      <c r="E19" s="5" t="s">
        <v>236</v>
      </c>
      <c r="F19" s="5" t="s">
        <v>237</v>
      </c>
      <c r="G19" s="5" t="s">
        <v>90</v>
      </c>
      <c r="H19" s="4">
        <v>45512</v>
      </c>
      <c r="I19" s="5" t="s">
        <v>176</v>
      </c>
      <c r="J19" s="5" t="s">
        <v>238</v>
      </c>
      <c r="K19" t="s">
        <v>239</v>
      </c>
      <c r="L19" s="5" t="s">
        <v>240</v>
      </c>
      <c r="M19" t="s">
        <v>20</v>
      </c>
      <c r="N19" t="s">
        <v>20</v>
      </c>
      <c r="O19" t="s">
        <v>94</v>
      </c>
      <c r="P19" t="s">
        <v>8</v>
      </c>
      <c r="Q19" s="5" t="str">
        <f t="shared" si="0"/>
        <v>欠发达地区</v>
      </c>
      <c r="R19" s="5" t="str">
        <f t="shared" si="1"/>
        <v>有限公司</v>
      </c>
      <c r="S19" s="4">
        <f t="shared" si="2"/>
        <v>45512</v>
      </c>
    </row>
    <row r="20" spans="1:19">
      <c r="A20" s="5" t="s">
        <v>46</v>
      </c>
      <c r="B20" s="5" t="s">
        <v>241</v>
      </c>
      <c r="C20" s="5" t="s">
        <v>242</v>
      </c>
      <c r="D20" s="5" t="s">
        <v>243</v>
      </c>
      <c r="E20" s="5" t="s">
        <v>244</v>
      </c>
      <c r="F20" s="5" t="s">
        <v>245</v>
      </c>
      <c r="G20" s="5" t="s">
        <v>246</v>
      </c>
      <c r="H20" s="4">
        <v>45515</v>
      </c>
      <c r="I20" s="5" t="s">
        <v>195</v>
      </c>
      <c r="J20" s="5" t="s">
        <v>247</v>
      </c>
      <c r="K20" t="s">
        <v>248</v>
      </c>
      <c r="L20" s="5" t="s">
        <v>249</v>
      </c>
      <c r="M20" t="s">
        <v>16</v>
      </c>
      <c r="N20" t="s">
        <v>27</v>
      </c>
      <c r="O20" t="s">
        <v>106</v>
      </c>
      <c r="P20" t="s">
        <v>7</v>
      </c>
      <c r="Q20" s="5" t="str">
        <f t="shared" si="0"/>
        <v>普通地区</v>
      </c>
      <c r="R20" s="5" t="str">
        <f t="shared" si="1"/>
        <v>有限公司</v>
      </c>
      <c r="S20" s="4">
        <f t="shared" si="2"/>
        <v>45515</v>
      </c>
    </row>
    <row r="21" spans="1:19">
      <c r="A21" s="5" t="s">
        <v>250</v>
      </c>
      <c r="B21" s="5" t="s">
        <v>251</v>
      </c>
      <c r="C21" s="5" t="s">
        <v>252</v>
      </c>
      <c r="D21" s="5" t="s">
        <v>253</v>
      </c>
      <c r="E21" s="5" t="s">
        <v>254</v>
      </c>
      <c r="F21" s="5" t="s">
        <v>255</v>
      </c>
      <c r="G21" s="5" t="s">
        <v>256</v>
      </c>
      <c r="H21" s="4">
        <v>45548</v>
      </c>
      <c r="I21" s="5" t="s">
        <v>195</v>
      </c>
      <c r="J21" s="5" t="s">
        <v>60</v>
      </c>
      <c r="K21" t="s">
        <v>257</v>
      </c>
      <c r="L21" s="5" t="s">
        <v>93</v>
      </c>
      <c r="M21" t="s">
        <v>26</v>
      </c>
      <c r="N21" t="s">
        <v>26</v>
      </c>
      <c r="O21" t="s">
        <v>94</v>
      </c>
      <c r="P21" t="s">
        <v>7</v>
      </c>
      <c r="Q21" s="5" t="str">
        <f t="shared" si="0"/>
        <v>欠发达地区</v>
      </c>
      <c r="R21" s="5" t="str">
        <f t="shared" si="1"/>
        <v>有限公司</v>
      </c>
      <c r="S21" s="4">
        <f t="shared" si="2"/>
        <v>45548</v>
      </c>
    </row>
    <row r="22" spans="1:19">
      <c r="A22" s="5" t="s">
        <v>40</v>
      </c>
      <c r="B22" s="5" t="s">
        <v>258</v>
      </c>
      <c r="C22" s="5" t="s">
        <v>259</v>
      </c>
      <c r="D22" s="5" t="s">
        <v>260</v>
      </c>
      <c r="E22" s="5" t="s">
        <v>261</v>
      </c>
      <c r="F22" s="5" t="s">
        <v>90</v>
      </c>
      <c r="G22" s="5" t="s">
        <v>90</v>
      </c>
      <c r="H22" s="4">
        <v>45550</v>
      </c>
      <c r="I22" s="5" t="s">
        <v>90</v>
      </c>
      <c r="J22" s="5" t="s">
        <v>57</v>
      </c>
      <c r="K22" t="s">
        <v>262</v>
      </c>
      <c r="L22" s="5" t="s">
        <v>263</v>
      </c>
      <c r="M22" t="s">
        <v>24</v>
      </c>
      <c r="N22" t="s">
        <v>24</v>
      </c>
      <c r="O22" t="s">
        <v>94</v>
      </c>
      <c r="P22" t="s">
        <v>7</v>
      </c>
      <c r="Q22" s="5" t="str">
        <f t="shared" si="0"/>
        <v>普通地区</v>
      </c>
      <c r="R22" s="5" t="str">
        <f t="shared" si="1"/>
        <v>其他</v>
      </c>
      <c r="S22" s="4">
        <f t="shared" si="2"/>
        <v>45550</v>
      </c>
    </row>
    <row r="23" spans="1:19">
      <c r="A23" s="5" t="s">
        <v>264</v>
      </c>
      <c r="B23" s="5" t="s">
        <v>265</v>
      </c>
      <c r="C23" s="5" t="s">
        <v>266</v>
      </c>
      <c r="D23" s="5" t="s">
        <v>267</v>
      </c>
      <c r="E23" s="5" t="s">
        <v>268</v>
      </c>
      <c r="F23" s="5" t="s">
        <v>269</v>
      </c>
      <c r="G23" s="5" t="s">
        <v>270</v>
      </c>
      <c r="H23" s="4">
        <v>45551</v>
      </c>
      <c r="I23" s="5" t="s">
        <v>271</v>
      </c>
      <c r="J23" s="5" t="s">
        <v>272</v>
      </c>
      <c r="K23">
        <v>0.0069</v>
      </c>
      <c r="L23" s="5" t="s">
        <v>90</v>
      </c>
      <c r="M23" t="s">
        <v>16</v>
      </c>
      <c r="N23" t="s">
        <v>15</v>
      </c>
      <c r="O23" t="s">
        <v>106</v>
      </c>
      <c r="P23" t="s">
        <v>6</v>
      </c>
      <c r="Q23" s="5" t="str">
        <f t="shared" si="0"/>
        <v>普通地区</v>
      </c>
      <c r="R23" s="5" t="str">
        <f t="shared" si="1"/>
        <v>有限公司</v>
      </c>
      <c r="S23" s="4">
        <f t="shared" si="2"/>
        <v>45551</v>
      </c>
    </row>
    <row r="24" spans="1:19">
      <c r="A24" s="5" t="s">
        <v>273</v>
      </c>
      <c r="B24" s="5" t="s">
        <v>274</v>
      </c>
      <c r="C24" s="5" t="s">
        <v>275</v>
      </c>
      <c r="D24" s="5" t="s">
        <v>276</v>
      </c>
      <c r="E24" s="5" t="s">
        <v>277</v>
      </c>
      <c r="F24" s="5" t="s">
        <v>278</v>
      </c>
      <c r="G24" s="5" t="s">
        <v>279</v>
      </c>
      <c r="H24" s="4">
        <v>45594</v>
      </c>
      <c r="I24" s="5" t="s">
        <v>176</v>
      </c>
      <c r="J24" s="5" t="s">
        <v>280</v>
      </c>
      <c r="K24" t="s">
        <v>281</v>
      </c>
      <c r="L24" s="5" t="s">
        <v>93</v>
      </c>
      <c r="M24" t="s">
        <v>16</v>
      </c>
      <c r="N24" t="s">
        <v>22</v>
      </c>
      <c r="O24" t="s">
        <v>106</v>
      </c>
      <c r="P24" t="s">
        <v>7</v>
      </c>
      <c r="Q24" s="5" t="str">
        <f t="shared" si="0"/>
        <v>普通地区</v>
      </c>
      <c r="R24" s="5" t="str">
        <f t="shared" si="1"/>
        <v>有限公司</v>
      </c>
      <c r="S24" s="4">
        <f t="shared" si="2"/>
        <v>45594</v>
      </c>
    </row>
    <row r="25" spans="1:19">
      <c r="A25" s="5" t="s">
        <v>282</v>
      </c>
      <c r="B25" s="5" t="s">
        <v>283</v>
      </c>
      <c r="C25" s="5" t="s">
        <v>284</v>
      </c>
      <c r="D25" s="5" t="s">
        <v>285</v>
      </c>
      <c r="E25" s="5" t="s">
        <v>286</v>
      </c>
      <c r="F25" s="5" t="s">
        <v>287</v>
      </c>
      <c r="G25" s="5" t="s">
        <v>288</v>
      </c>
      <c r="H25" s="4">
        <v>45604</v>
      </c>
      <c r="I25" s="5" t="s">
        <v>195</v>
      </c>
      <c r="J25" s="5" t="s">
        <v>289</v>
      </c>
      <c r="K25" t="s">
        <v>290</v>
      </c>
      <c r="L25" s="5" t="s">
        <v>93</v>
      </c>
      <c r="M25" t="s">
        <v>10</v>
      </c>
      <c r="N25" t="s">
        <v>10</v>
      </c>
      <c r="O25" t="s">
        <v>94</v>
      </c>
      <c r="P25" t="s">
        <v>7</v>
      </c>
      <c r="Q25" s="5" t="str">
        <f t="shared" si="0"/>
        <v>普通地区</v>
      </c>
      <c r="R25" s="5" t="str">
        <f t="shared" si="1"/>
        <v>有限公司</v>
      </c>
      <c r="S25" s="4">
        <f t="shared" si="2"/>
        <v>45604</v>
      </c>
    </row>
    <row r="26" spans="1:19">
      <c r="A26" s="5" t="s">
        <v>291</v>
      </c>
      <c r="B26" s="5" t="s">
        <v>292</v>
      </c>
      <c r="C26" s="5" t="s">
        <v>293</v>
      </c>
      <c r="D26" s="5" t="s">
        <v>294</v>
      </c>
      <c r="E26" s="5" t="s">
        <v>295</v>
      </c>
      <c r="F26" s="5" t="s">
        <v>296</v>
      </c>
      <c r="G26" s="5" t="s">
        <v>90</v>
      </c>
      <c r="H26" s="4">
        <v>45611</v>
      </c>
      <c r="I26" s="5" t="s">
        <v>102</v>
      </c>
      <c r="J26" s="5" t="s">
        <v>59</v>
      </c>
      <c r="K26" t="s">
        <v>297</v>
      </c>
      <c r="L26" s="5" t="s">
        <v>298</v>
      </c>
      <c r="M26" t="s">
        <v>23</v>
      </c>
      <c r="N26" t="s">
        <v>23</v>
      </c>
      <c r="O26" t="s">
        <v>94</v>
      </c>
      <c r="P26" t="s">
        <v>6</v>
      </c>
      <c r="Q26" s="5" t="str">
        <f t="shared" si="0"/>
        <v>普通地区</v>
      </c>
      <c r="R26" s="5" t="str">
        <f t="shared" si="1"/>
        <v>其他</v>
      </c>
      <c r="S26" s="4">
        <f t="shared" si="2"/>
        <v>45611</v>
      </c>
    </row>
    <row r="27" spans="1:19">
      <c r="A27" s="5" t="s">
        <v>299</v>
      </c>
      <c r="B27" s="5" t="s">
        <v>300</v>
      </c>
      <c r="C27" s="5" t="s">
        <v>301</v>
      </c>
      <c r="D27" s="5" t="s">
        <v>302</v>
      </c>
      <c r="E27" s="5" t="s">
        <v>295</v>
      </c>
      <c r="F27" s="5" t="s">
        <v>209</v>
      </c>
      <c r="G27" s="5" t="s">
        <v>90</v>
      </c>
      <c r="H27" s="4">
        <v>45631</v>
      </c>
      <c r="I27" s="5" t="s">
        <v>102</v>
      </c>
      <c r="J27" s="5" t="s">
        <v>59</v>
      </c>
      <c r="K27" t="s">
        <v>303</v>
      </c>
      <c r="L27" s="5" t="s">
        <v>298</v>
      </c>
      <c r="M27" t="s">
        <v>19</v>
      </c>
      <c r="N27" t="s">
        <v>19</v>
      </c>
      <c r="O27" t="s">
        <v>94</v>
      </c>
      <c r="P27" t="s">
        <v>8</v>
      </c>
      <c r="Q27" s="5" t="str">
        <f t="shared" si="0"/>
        <v>欠发达地区</v>
      </c>
      <c r="R27" s="5" t="str">
        <f t="shared" si="1"/>
        <v>其他</v>
      </c>
      <c r="S27" s="4">
        <f t="shared" si="2"/>
        <v>45631</v>
      </c>
    </row>
    <row r="28" spans="1:19">
      <c r="A28" s="5" t="s">
        <v>45</v>
      </c>
      <c r="B28" s="5" t="s">
        <v>304</v>
      </c>
      <c r="C28" s="5" t="s">
        <v>305</v>
      </c>
      <c r="D28" s="5" t="s">
        <v>306</v>
      </c>
      <c r="E28" s="5" t="s">
        <v>307</v>
      </c>
      <c r="F28" s="5" t="s">
        <v>308</v>
      </c>
      <c r="G28" s="5" t="s">
        <v>309</v>
      </c>
      <c r="H28" s="4">
        <v>45633</v>
      </c>
      <c r="I28" s="5" t="s">
        <v>102</v>
      </c>
      <c r="J28" s="5" t="s">
        <v>310</v>
      </c>
      <c r="K28" t="s">
        <v>311</v>
      </c>
      <c r="L28" s="5" t="s">
        <v>312</v>
      </c>
      <c r="M28" t="s">
        <v>18</v>
      </c>
      <c r="N28" t="s">
        <v>18</v>
      </c>
      <c r="O28" t="s">
        <v>94</v>
      </c>
      <c r="P28" t="s">
        <v>7</v>
      </c>
      <c r="Q28" s="5" t="str">
        <f t="shared" si="0"/>
        <v>发达地区</v>
      </c>
      <c r="R28" s="5" t="str">
        <f t="shared" si="1"/>
        <v>有限公司</v>
      </c>
      <c r="S28" s="4">
        <f t="shared" si="2"/>
        <v>45633</v>
      </c>
    </row>
    <row r="29" spans="1:19">
      <c r="A29" s="5" t="s">
        <v>35</v>
      </c>
      <c r="B29" s="5" t="s">
        <v>313</v>
      </c>
      <c r="C29" s="5" t="s">
        <v>314</v>
      </c>
      <c r="D29" s="5" t="s">
        <v>315</v>
      </c>
      <c r="E29" s="5" t="s">
        <v>316</v>
      </c>
      <c r="F29" s="5" t="s">
        <v>317</v>
      </c>
      <c r="G29" s="5" t="s">
        <v>318</v>
      </c>
      <c r="H29" s="4">
        <v>45633</v>
      </c>
      <c r="I29" s="5" t="s">
        <v>319</v>
      </c>
      <c r="J29" s="5" t="s">
        <v>320</v>
      </c>
      <c r="K29" t="s">
        <v>321</v>
      </c>
      <c r="L29" s="5" t="s">
        <v>93</v>
      </c>
      <c r="M29" t="s">
        <v>30</v>
      </c>
      <c r="N29" t="s">
        <v>30</v>
      </c>
      <c r="O29" t="s">
        <v>94</v>
      </c>
      <c r="P29" t="s">
        <v>7</v>
      </c>
      <c r="Q29" s="5" t="str">
        <f t="shared" si="0"/>
        <v>欠发达地区</v>
      </c>
      <c r="R29" s="5" t="str">
        <f t="shared" si="1"/>
        <v>有限公司</v>
      </c>
      <c r="S29" s="4">
        <f t="shared" si="2"/>
        <v>45633</v>
      </c>
    </row>
    <row r="30" spans="1:19">
      <c r="A30" s="5" t="s">
        <v>39</v>
      </c>
      <c r="B30" s="5" t="s">
        <v>322</v>
      </c>
      <c r="C30" s="5" t="s">
        <v>323</v>
      </c>
      <c r="D30" s="5" t="s">
        <v>324</v>
      </c>
      <c r="E30" s="5" t="s">
        <v>325</v>
      </c>
      <c r="F30" s="5" t="s">
        <v>90</v>
      </c>
      <c r="G30" s="5" t="s">
        <v>90</v>
      </c>
      <c r="H30" s="4">
        <v>45634</v>
      </c>
      <c r="I30" s="5" t="s">
        <v>90</v>
      </c>
      <c r="J30" s="5" t="s">
        <v>57</v>
      </c>
      <c r="K30" t="s">
        <v>326</v>
      </c>
      <c r="L30" s="5" t="s">
        <v>327</v>
      </c>
      <c r="M30" t="s">
        <v>12</v>
      </c>
      <c r="N30" t="s">
        <v>12</v>
      </c>
      <c r="O30" t="s">
        <v>94</v>
      </c>
      <c r="P30" t="s">
        <v>7</v>
      </c>
      <c r="Q30" s="5" t="str">
        <f t="shared" si="0"/>
        <v>欠发达地区</v>
      </c>
      <c r="R30" s="5" t="str">
        <f t="shared" si="1"/>
        <v>其他</v>
      </c>
      <c r="S30" s="4">
        <f t="shared" si="2"/>
        <v>45634</v>
      </c>
    </row>
    <row r="31" spans="1:19">
      <c r="A31" s="5" t="s">
        <v>38</v>
      </c>
      <c r="B31" s="5" t="s">
        <v>328</v>
      </c>
      <c r="C31" s="5" t="s">
        <v>329</v>
      </c>
      <c r="D31" s="5" t="s">
        <v>330</v>
      </c>
      <c r="E31" s="5" t="s">
        <v>331</v>
      </c>
      <c r="F31" s="5" t="s">
        <v>90</v>
      </c>
      <c r="G31" s="5" t="s">
        <v>90</v>
      </c>
      <c r="H31" s="4">
        <v>45652</v>
      </c>
      <c r="I31" s="5" t="s">
        <v>90</v>
      </c>
      <c r="J31" s="5" t="s">
        <v>57</v>
      </c>
      <c r="K31" t="s">
        <v>332</v>
      </c>
      <c r="L31" s="5" t="s">
        <v>333</v>
      </c>
      <c r="M31" t="s">
        <v>12</v>
      </c>
      <c r="N31" t="s">
        <v>12</v>
      </c>
      <c r="O31" t="s">
        <v>94</v>
      </c>
      <c r="P31" t="s">
        <v>7</v>
      </c>
      <c r="Q31" s="5" t="str">
        <f t="shared" si="0"/>
        <v>欠发达地区</v>
      </c>
      <c r="R31" s="5" t="str">
        <f t="shared" si="1"/>
        <v>其他</v>
      </c>
      <c r="S31" s="4">
        <f t="shared" si="2"/>
        <v>45652</v>
      </c>
    </row>
    <row r="32" spans="1:19">
      <c r="A32" s="5" t="s">
        <v>334</v>
      </c>
      <c r="B32" s="5" t="s">
        <v>335</v>
      </c>
      <c r="C32" s="5" t="s">
        <v>336</v>
      </c>
      <c r="D32" s="5" t="s">
        <v>335</v>
      </c>
      <c r="E32" s="5" t="s">
        <v>337</v>
      </c>
      <c r="F32" s="5" t="s">
        <v>338</v>
      </c>
      <c r="G32" s="5" t="s">
        <v>339</v>
      </c>
      <c r="H32" s="4">
        <v>45653</v>
      </c>
      <c r="I32" s="5" t="s">
        <v>319</v>
      </c>
      <c r="J32" s="5" t="s">
        <v>59</v>
      </c>
      <c r="K32" t="s">
        <v>340</v>
      </c>
      <c r="L32" s="5" t="s">
        <v>298</v>
      </c>
      <c r="M32" t="s">
        <v>15</v>
      </c>
      <c r="N32" t="s">
        <v>15</v>
      </c>
      <c r="O32" t="s">
        <v>94</v>
      </c>
      <c r="P32" t="s">
        <v>8</v>
      </c>
      <c r="Q32" s="5" t="str">
        <f t="shared" si="0"/>
        <v>普通地区</v>
      </c>
      <c r="R32" s="5" t="str">
        <f t="shared" si="1"/>
        <v>有限公司</v>
      </c>
      <c r="S32" s="4">
        <f t="shared" si="2"/>
        <v>45653</v>
      </c>
    </row>
    <row r="33" spans="1:19">
      <c r="A33" s="5" t="s">
        <v>341</v>
      </c>
      <c r="B33" s="5" t="s">
        <v>342</v>
      </c>
      <c r="C33" s="5" t="s">
        <v>343</v>
      </c>
      <c r="D33" s="5" t="s">
        <v>344</v>
      </c>
      <c r="E33" s="5" t="s">
        <v>345</v>
      </c>
      <c r="F33" s="5" t="s">
        <v>209</v>
      </c>
      <c r="G33" s="5" t="s">
        <v>346</v>
      </c>
      <c r="H33" s="4">
        <v>45658</v>
      </c>
      <c r="I33" s="5" t="s">
        <v>195</v>
      </c>
      <c r="J33" s="5" t="s">
        <v>347</v>
      </c>
      <c r="K33" t="s">
        <v>348</v>
      </c>
      <c r="L33" s="5" t="s">
        <v>349</v>
      </c>
      <c r="M33" t="s">
        <v>350</v>
      </c>
      <c r="N33" t="s">
        <v>19</v>
      </c>
      <c r="O33" t="s">
        <v>106</v>
      </c>
      <c r="P33" t="s">
        <v>8</v>
      </c>
      <c r="Q33" s="5" t="str">
        <f t="shared" si="0"/>
        <v>欠发达地区</v>
      </c>
      <c r="R33" s="5" t="str">
        <f t="shared" si="1"/>
        <v>有限公司</v>
      </c>
      <c r="S33" s="4">
        <f t="shared" si="2"/>
        <v>45658</v>
      </c>
    </row>
    <row r="34" spans="1:19">
      <c r="A34" s="5" t="s">
        <v>351</v>
      </c>
      <c r="B34" s="5" t="s">
        <v>352</v>
      </c>
      <c r="C34" s="5" t="s">
        <v>353</v>
      </c>
      <c r="D34" s="5" t="s">
        <v>354</v>
      </c>
      <c r="E34" s="5" t="s">
        <v>355</v>
      </c>
      <c r="F34" s="5" t="s">
        <v>317</v>
      </c>
      <c r="G34" s="5" t="s">
        <v>90</v>
      </c>
      <c r="H34" s="4">
        <v>45665</v>
      </c>
      <c r="I34" s="5" t="s">
        <v>356</v>
      </c>
      <c r="J34" s="5" t="s">
        <v>289</v>
      </c>
      <c r="K34" t="s">
        <v>357</v>
      </c>
      <c r="L34" s="5" t="s">
        <v>93</v>
      </c>
      <c r="M34" t="s">
        <v>14</v>
      </c>
      <c r="N34" t="s">
        <v>14</v>
      </c>
      <c r="O34" t="s">
        <v>94</v>
      </c>
      <c r="P34" t="s">
        <v>7</v>
      </c>
      <c r="Q34" s="5" t="str">
        <f t="shared" si="0"/>
        <v>发达地区</v>
      </c>
      <c r="R34" s="5" t="str">
        <f t="shared" si="1"/>
        <v>有限公司</v>
      </c>
      <c r="S34" s="4">
        <f t="shared" si="2"/>
        <v>45665</v>
      </c>
    </row>
    <row r="35" spans="1:19">
      <c r="A35" s="5" t="s">
        <v>37</v>
      </c>
      <c r="B35" s="5" t="s">
        <v>358</v>
      </c>
      <c r="C35" s="5" t="s">
        <v>359</v>
      </c>
      <c r="D35" s="5" t="s">
        <v>360</v>
      </c>
      <c r="E35" s="5" t="s">
        <v>361</v>
      </c>
      <c r="F35" s="5" t="s">
        <v>90</v>
      </c>
      <c r="G35" s="5" t="s">
        <v>90</v>
      </c>
      <c r="H35" s="4">
        <v>45666</v>
      </c>
      <c r="I35" s="5" t="s">
        <v>90</v>
      </c>
      <c r="J35" s="5" t="s">
        <v>57</v>
      </c>
      <c r="K35" t="s">
        <v>362</v>
      </c>
      <c r="L35" s="5" t="s">
        <v>93</v>
      </c>
      <c r="M35" t="s">
        <v>12</v>
      </c>
      <c r="N35" t="s">
        <v>12</v>
      </c>
      <c r="O35" t="s">
        <v>94</v>
      </c>
      <c r="P35" t="s">
        <v>7</v>
      </c>
      <c r="Q35" s="5" t="str">
        <f t="shared" si="0"/>
        <v>欠发达地区</v>
      </c>
      <c r="R35" s="5" t="str">
        <f t="shared" si="1"/>
        <v>有限公司</v>
      </c>
      <c r="S35" s="4">
        <f t="shared" si="2"/>
        <v>45666</v>
      </c>
    </row>
    <row r="36" spans="1:19">
      <c r="A36" s="5" t="s">
        <v>363</v>
      </c>
      <c r="B36" s="5" t="s">
        <v>364</v>
      </c>
      <c r="C36" s="5" t="s">
        <v>365</v>
      </c>
      <c r="D36" s="5" t="s">
        <v>366</v>
      </c>
      <c r="E36" s="5" t="s">
        <v>367</v>
      </c>
      <c r="F36" s="5" t="s">
        <v>368</v>
      </c>
      <c r="G36" s="5" t="s">
        <v>369</v>
      </c>
      <c r="H36" s="4">
        <v>45666</v>
      </c>
      <c r="I36" s="5" t="s">
        <v>195</v>
      </c>
      <c r="J36" s="5" t="s">
        <v>370</v>
      </c>
      <c r="K36" t="s">
        <v>371</v>
      </c>
      <c r="L36" s="5" t="s">
        <v>372</v>
      </c>
      <c r="M36" t="s">
        <v>18</v>
      </c>
      <c r="N36" t="s">
        <v>32</v>
      </c>
      <c r="O36" t="s">
        <v>106</v>
      </c>
      <c r="P36" t="s">
        <v>6</v>
      </c>
      <c r="Q36" s="5" t="str">
        <f t="shared" si="0"/>
        <v>发达地区</v>
      </c>
      <c r="R36" s="5" t="str">
        <f t="shared" si="1"/>
        <v>有限公司</v>
      </c>
      <c r="S36" s="4">
        <f t="shared" si="2"/>
        <v>45666</v>
      </c>
    </row>
    <row r="37" spans="1:19">
      <c r="A37" s="5" t="s">
        <v>373</v>
      </c>
      <c r="B37" s="5" t="s">
        <v>374</v>
      </c>
      <c r="C37" s="5" t="s">
        <v>375</v>
      </c>
      <c r="D37" s="5" t="s">
        <v>376</v>
      </c>
      <c r="E37" s="5" t="s">
        <v>377</v>
      </c>
      <c r="F37" s="5" t="s">
        <v>378</v>
      </c>
      <c r="G37" s="5" t="s">
        <v>379</v>
      </c>
      <c r="H37" s="4">
        <v>45672</v>
      </c>
      <c r="I37" s="5" t="s">
        <v>380</v>
      </c>
      <c r="J37" s="5" t="s">
        <v>59</v>
      </c>
      <c r="K37" t="s">
        <v>381</v>
      </c>
      <c r="L37" s="5" t="s">
        <v>298</v>
      </c>
      <c r="M37" t="s">
        <v>15</v>
      </c>
      <c r="N37" t="s">
        <v>11</v>
      </c>
      <c r="O37" t="s">
        <v>106</v>
      </c>
      <c r="P37" t="s">
        <v>6</v>
      </c>
      <c r="Q37" s="5" t="str">
        <f t="shared" si="0"/>
        <v>发达地区</v>
      </c>
      <c r="R37" s="5" t="str">
        <f t="shared" si="1"/>
        <v>有限公司</v>
      </c>
      <c r="S37" s="4">
        <f t="shared" si="2"/>
        <v>45672</v>
      </c>
    </row>
    <row r="38" spans="1:19">
      <c r="A38" s="5" t="s">
        <v>36</v>
      </c>
      <c r="B38" s="5" t="s">
        <v>382</v>
      </c>
      <c r="C38" s="5" t="s">
        <v>383</v>
      </c>
      <c r="D38" s="5" t="s">
        <v>384</v>
      </c>
      <c r="E38" s="5" t="s">
        <v>385</v>
      </c>
      <c r="F38" s="5" t="s">
        <v>90</v>
      </c>
      <c r="G38" s="5" t="s">
        <v>90</v>
      </c>
      <c r="H38" s="4">
        <v>45681</v>
      </c>
      <c r="I38" s="5" t="s">
        <v>90</v>
      </c>
      <c r="J38" s="5" t="s">
        <v>320</v>
      </c>
      <c r="K38" t="s">
        <v>386</v>
      </c>
      <c r="L38" s="5" t="s">
        <v>93</v>
      </c>
      <c r="M38" t="s">
        <v>13</v>
      </c>
      <c r="N38" t="s">
        <v>13</v>
      </c>
      <c r="O38" t="s">
        <v>94</v>
      </c>
      <c r="P38" t="s">
        <v>7</v>
      </c>
      <c r="Q38" s="5" t="str">
        <f t="shared" si="0"/>
        <v>欠发达地区</v>
      </c>
      <c r="R38" s="5" t="str">
        <f t="shared" si="1"/>
        <v>其他</v>
      </c>
      <c r="S38" s="4">
        <f t="shared" si="2"/>
        <v>45681</v>
      </c>
    </row>
    <row r="39" spans="1:19">
      <c r="A39" s="5" t="s">
        <v>47</v>
      </c>
      <c r="B39" s="5" t="s">
        <v>387</v>
      </c>
      <c r="C39" s="5" t="s">
        <v>47</v>
      </c>
      <c r="D39" s="5" t="s">
        <v>387</v>
      </c>
      <c r="E39" s="5" t="s">
        <v>388</v>
      </c>
      <c r="F39" s="5" t="s">
        <v>389</v>
      </c>
      <c r="G39" s="5" t="s">
        <v>390</v>
      </c>
      <c r="H39" s="4">
        <v>45689</v>
      </c>
      <c r="I39" s="5" t="s">
        <v>176</v>
      </c>
      <c r="J39" s="5" t="s">
        <v>238</v>
      </c>
      <c r="K39" t="s">
        <v>391</v>
      </c>
      <c r="L39" s="5" t="s">
        <v>392</v>
      </c>
      <c r="M39" t="s">
        <v>23</v>
      </c>
      <c r="N39" t="s">
        <v>23</v>
      </c>
      <c r="O39" t="s">
        <v>94</v>
      </c>
      <c r="P39" t="s">
        <v>6</v>
      </c>
      <c r="Q39" s="5" t="str">
        <f t="shared" si="0"/>
        <v>普通地区</v>
      </c>
      <c r="R39" s="5" t="str">
        <f t="shared" si="1"/>
        <v>有限公司</v>
      </c>
      <c r="S39" s="4">
        <f t="shared" si="2"/>
        <v>45689</v>
      </c>
    </row>
    <row r="40" spans="1:19">
      <c r="A40" s="5" t="s">
        <v>393</v>
      </c>
      <c r="B40" s="5" t="s">
        <v>394</v>
      </c>
      <c r="C40" s="5" t="s">
        <v>395</v>
      </c>
      <c r="D40" s="5" t="s">
        <v>396</v>
      </c>
      <c r="E40" s="5" t="s">
        <v>397</v>
      </c>
      <c r="F40" s="5" t="s">
        <v>398</v>
      </c>
      <c r="G40" s="5" t="s">
        <v>399</v>
      </c>
      <c r="H40" s="4">
        <v>45695</v>
      </c>
      <c r="I40" s="5" t="s">
        <v>176</v>
      </c>
      <c r="J40" s="5" t="s">
        <v>400</v>
      </c>
      <c r="K40" t="s">
        <v>401</v>
      </c>
      <c r="L40" s="5" t="s">
        <v>402</v>
      </c>
      <c r="M40" t="s">
        <v>11</v>
      </c>
      <c r="N40" t="s">
        <v>11</v>
      </c>
      <c r="O40" t="s">
        <v>94</v>
      </c>
      <c r="P40" t="s">
        <v>6</v>
      </c>
      <c r="Q40" s="5" t="str">
        <f t="shared" si="0"/>
        <v>发达地区</v>
      </c>
      <c r="R40" s="5" t="str">
        <f t="shared" si="1"/>
        <v>有限公司</v>
      </c>
      <c r="S40" s="4">
        <f t="shared" si="2"/>
        <v>45695</v>
      </c>
    </row>
    <row r="41" spans="1:19">
      <c r="A41" s="5" t="s">
        <v>403</v>
      </c>
      <c r="B41" s="5" t="s">
        <v>404</v>
      </c>
      <c r="C41" s="5" t="s">
        <v>405</v>
      </c>
      <c r="D41" s="5" t="s">
        <v>406</v>
      </c>
      <c r="E41" s="5" t="s">
        <v>407</v>
      </c>
      <c r="F41" s="5" t="s">
        <v>408</v>
      </c>
      <c r="G41" s="5" t="s">
        <v>409</v>
      </c>
      <c r="H41" s="4">
        <v>45699</v>
      </c>
      <c r="I41" s="5" t="s">
        <v>195</v>
      </c>
      <c r="J41" s="5" t="s">
        <v>57</v>
      </c>
      <c r="K41" t="s">
        <v>410</v>
      </c>
      <c r="L41" s="5" t="s">
        <v>333</v>
      </c>
      <c r="M41" t="s">
        <v>13</v>
      </c>
      <c r="N41" t="s">
        <v>13</v>
      </c>
      <c r="O41" t="s">
        <v>94</v>
      </c>
      <c r="P41" t="s">
        <v>7</v>
      </c>
      <c r="Q41" s="5" t="str">
        <f t="shared" si="0"/>
        <v>欠发达地区</v>
      </c>
      <c r="R41" s="5" t="str">
        <f t="shared" si="1"/>
        <v>有限公司</v>
      </c>
      <c r="S41" s="4">
        <f t="shared" si="2"/>
        <v>45699</v>
      </c>
    </row>
    <row r="42" spans="1:19">
      <c r="A42" s="5" t="s">
        <v>411</v>
      </c>
      <c r="B42" s="5" t="s">
        <v>412</v>
      </c>
      <c r="C42" s="5" t="s">
        <v>413</v>
      </c>
      <c r="D42" s="5" t="s">
        <v>414</v>
      </c>
      <c r="E42" s="5" t="s">
        <v>415</v>
      </c>
      <c r="F42" s="5" t="s">
        <v>416</v>
      </c>
      <c r="G42" s="5" t="s">
        <v>90</v>
      </c>
      <c r="H42" s="4">
        <v>45701</v>
      </c>
      <c r="I42" s="5" t="s">
        <v>149</v>
      </c>
      <c r="J42" s="5" t="s">
        <v>60</v>
      </c>
      <c r="K42" t="s">
        <v>417</v>
      </c>
      <c r="L42" s="5" t="s">
        <v>93</v>
      </c>
      <c r="M42" t="s">
        <v>17</v>
      </c>
      <c r="N42" t="s">
        <v>16</v>
      </c>
      <c r="O42" t="s">
        <v>106</v>
      </c>
      <c r="P42" t="s">
        <v>7</v>
      </c>
      <c r="Q42" s="5" t="str">
        <f t="shared" si="0"/>
        <v>发达地区</v>
      </c>
      <c r="R42" s="6" t="str">
        <f t="shared" si="1"/>
        <v>有限公司</v>
      </c>
      <c r="S42" s="4">
        <f t="shared" si="2"/>
        <v>45701</v>
      </c>
    </row>
    <row r="43" spans="1:19">
      <c r="A43" s="5" t="s">
        <v>48</v>
      </c>
      <c r="B43" s="5" t="s">
        <v>418</v>
      </c>
      <c r="C43" s="5" t="s">
        <v>419</v>
      </c>
      <c r="D43" s="5" t="s">
        <v>420</v>
      </c>
      <c r="E43" s="5" t="s">
        <v>421</v>
      </c>
      <c r="F43" s="5" t="s">
        <v>422</v>
      </c>
      <c r="G43" s="5" t="s">
        <v>423</v>
      </c>
      <c r="H43" s="4">
        <v>45702</v>
      </c>
      <c r="I43" s="5" t="s">
        <v>424</v>
      </c>
      <c r="J43" s="5" t="s">
        <v>61</v>
      </c>
      <c r="K43" t="s">
        <v>425</v>
      </c>
      <c r="L43" s="5" t="s">
        <v>426</v>
      </c>
      <c r="M43" t="s">
        <v>350</v>
      </c>
      <c r="N43" t="s">
        <v>29</v>
      </c>
      <c r="O43" t="s">
        <v>106</v>
      </c>
      <c r="P43" t="s">
        <v>6</v>
      </c>
      <c r="Q43" s="5" t="str">
        <f t="shared" si="0"/>
        <v>普通地区</v>
      </c>
      <c r="R43" s="5" t="str">
        <f t="shared" si="1"/>
        <v>有限公司</v>
      </c>
      <c r="S43" s="4">
        <f t="shared" si="2"/>
        <v>45702</v>
      </c>
    </row>
    <row r="44" spans="1:19">
      <c r="A44" s="5" t="s">
        <v>427</v>
      </c>
      <c r="B44" s="5" t="s">
        <v>428</v>
      </c>
      <c r="C44" s="5" t="s">
        <v>429</v>
      </c>
      <c r="D44" s="5" t="s">
        <v>430</v>
      </c>
      <c r="E44" s="5" t="s">
        <v>431</v>
      </c>
      <c r="F44" s="5" t="s">
        <v>209</v>
      </c>
      <c r="G44" s="5" t="s">
        <v>432</v>
      </c>
      <c r="H44" s="4">
        <v>45703</v>
      </c>
      <c r="I44" s="5" t="s">
        <v>195</v>
      </c>
      <c r="J44" s="5" t="s">
        <v>61</v>
      </c>
      <c r="K44" t="s">
        <v>433</v>
      </c>
      <c r="L44" s="5" t="s">
        <v>93</v>
      </c>
      <c r="M44" t="s">
        <v>22</v>
      </c>
      <c r="N44" t="s">
        <v>22</v>
      </c>
      <c r="O44" t="s">
        <v>94</v>
      </c>
      <c r="P44" t="s">
        <v>7</v>
      </c>
      <c r="Q44" s="5" t="str">
        <f t="shared" si="0"/>
        <v>普通地区</v>
      </c>
      <c r="R44" s="5" t="str">
        <f t="shared" si="1"/>
        <v>其他</v>
      </c>
      <c r="S44" s="4">
        <f t="shared" si="2"/>
        <v>45703</v>
      </c>
    </row>
    <row r="45" spans="1:19">
      <c r="A45" s="5" t="s">
        <v>43</v>
      </c>
      <c r="B45" s="5" t="s">
        <v>434</v>
      </c>
      <c r="C45" s="5" t="s">
        <v>435</v>
      </c>
      <c r="D45" s="5" t="s">
        <v>436</v>
      </c>
      <c r="E45" s="5" t="s">
        <v>437</v>
      </c>
      <c r="F45" s="5" t="s">
        <v>438</v>
      </c>
      <c r="G45" s="5" t="s">
        <v>439</v>
      </c>
      <c r="H45" s="4">
        <v>45709</v>
      </c>
      <c r="I45" s="5" t="s">
        <v>440</v>
      </c>
      <c r="J45" s="5" t="s">
        <v>60</v>
      </c>
      <c r="K45" t="s">
        <v>441</v>
      </c>
      <c r="L45" s="5" t="s">
        <v>93</v>
      </c>
      <c r="M45" t="s">
        <v>13</v>
      </c>
      <c r="N45" t="s">
        <v>13</v>
      </c>
      <c r="O45" t="s">
        <v>94</v>
      </c>
      <c r="P45" t="s">
        <v>7</v>
      </c>
      <c r="Q45" s="5" t="str">
        <f t="shared" si="0"/>
        <v>欠发达地区</v>
      </c>
      <c r="R45" s="5" t="str">
        <f t="shared" si="1"/>
        <v>有限公司</v>
      </c>
      <c r="S45" s="4">
        <f t="shared" si="2"/>
        <v>45709</v>
      </c>
    </row>
    <row r="46" spans="1:19">
      <c r="A46" s="5" t="s">
        <v>52</v>
      </c>
      <c r="B46" s="5" t="s">
        <v>442</v>
      </c>
      <c r="C46" s="5" t="s">
        <v>443</v>
      </c>
      <c r="D46" s="5" t="s">
        <v>444</v>
      </c>
      <c r="E46" s="5" t="s">
        <v>445</v>
      </c>
      <c r="F46" s="5" t="s">
        <v>446</v>
      </c>
      <c r="G46" s="5" t="s">
        <v>447</v>
      </c>
      <c r="H46" s="4">
        <v>45714</v>
      </c>
      <c r="I46" s="5" t="s">
        <v>102</v>
      </c>
      <c r="J46" s="5" t="s">
        <v>400</v>
      </c>
      <c r="K46" t="s">
        <v>448</v>
      </c>
      <c r="L46" s="5" t="s">
        <v>402</v>
      </c>
      <c r="M46" t="s">
        <v>25</v>
      </c>
      <c r="N46" t="s">
        <v>31</v>
      </c>
      <c r="O46" t="s">
        <v>106</v>
      </c>
      <c r="P46" t="s">
        <v>6</v>
      </c>
      <c r="Q46" s="5" t="str">
        <f t="shared" si="0"/>
        <v>发达地区</v>
      </c>
      <c r="R46" s="5" t="str">
        <f t="shared" si="1"/>
        <v>有限公司</v>
      </c>
      <c r="S46" s="4">
        <f t="shared" si="2"/>
        <v>45714</v>
      </c>
    </row>
    <row r="47" spans="1:19">
      <c r="A47" s="5" t="s">
        <v>41</v>
      </c>
      <c r="B47" s="5" t="s">
        <v>449</v>
      </c>
      <c r="C47" s="5" t="s">
        <v>450</v>
      </c>
      <c r="D47" s="5" t="s">
        <v>451</v>
      </c>
      <c r="E47" s="5" t="s">
        <v>452</v>
      </c>
      <c r="F47" s="5" t="s">
        <v>90</v>
      </c>
      <c r="G47" s="5" t="s">
        <v>90</v>
      </c>
      <c r="H47" s="4">
        <v>45715</v>
      </c>
      <c r="I47" s="5" t="s">
        <v>90</v>
      </c>
      <c r="J47" s="5" t="s">
        <v>57</v>
      </c>
      <c r="K47" t="s">
        <v>453</v>
      </c>
      <c r="L47" s="5" t="s">
        <v>93</v>
      </c>
      <c r="M47" t="s">
        <v>24</v>
      </c>
      <c r="N47" t="s">
        <v>24</v>
      </c>
      <c r="O47" t="s">
        <v>94</v>
      </c>
      <c r="P47" t="s">
        <v>7</v>
      </c>
      <c r="Q47" s="5" t="str">
        <f t="shared" si="0"/>
        <v>普通地区</v>
      </c>
      <c r="R47" s="5" t="str">
        <f t="shared" si="1"/>
        <v>其他</v>
      </c>
      <c r="S47" s="4">
        <f t="shared" si="2"/>
        <v>45715</v>
      </c>
    </row>
    <row r="48" spans="1:19">
      <c r="A48" s="5" t="s">
        <v>454</v>
      </c>
      <c r="B48" s="5" t="s">
        <v>455</v>
      </c>
      <c r="C48" s="5" t="s">
        <v>456</v>
      </c>
      <c r="D48" s="5" t="s">
        <v>457</v>
      </c>
      <c r="E48" s="5" t="s">
        <v>458</v>
      </c>
      <c r="F48" s="5" t="s">
        <v>459</v>
      </c>
      <c r="G48" s="5" t="s">
        <v>460</v>
      </c>
      <c r="H48" s="4">
        <v>45729</v>
      </c>
      <c r="I48" s="5" t="s">
        <v>176</v>
      </c>
      <c r="J48" s="5" t="s">
        <v>123</v>
      </c>
      <c r="K48" t="s">
        <v>124</v>
      </c>
      <c r="L48" s="5" t="s">
        <v>461</v>
      </c>
      <c r="M48" t="s">
        <v>462</v>
      </c>
      <c r="N48" t="s">
        <v>14</v>
      </c>
      <c r="O48" t="s">
        <v>106</v>
      </c>
      <c r="P48" t="s">
        <v>5</v>
      </c>
      <c r="Q48" s="5" t="str">
        <f t="shared" si="0"/>
        <v>发达地区</v>
      </c>
      <c r="R48" s="5" t="str">
        <f t="shared" si="1"/>
        <v>有限公司</v>
      </c>
      <c r="S48" s="4">
        <f t="shared" si="2"/>
        <v>45729</v>
      </c>
    </row>
    <row r="49" spans="1:19">
      <c r="A49" s="5" t="s">
        <v>463</v>
      </c>
      <c r="B49" s="5" t="s">
        <v>464</v>
      </c>
      <c r="C49" s="5" t="s">
        <v>465</v>
      </c>
      <c r="D49" s="5" t="s">
        <v>466</v>
      </c>
      <c r="E49" s="5" t="s">
        <v>286</v>
      </c>
      <c r="F49" s="5" t="s">
        <v>467</v>
      </c>
      <c r="G49" s="5" t="s">
        <v>468</v>
      </c>
      <c r="H49" s="4">
        <v>45742</v>
      </c>
      <c r="I49" s="5" t="s">
        <v>102</v>
      </c>
      <c r="J49" s="5" t="s">
        <v>57</v>
      </c>
      <c r="K49" t="s">
        <v>469</v>
      </c>
      <c r="L49" s="5" t="s">
        <v>470</v>
      </c>
      <c r="M49" t="s">
        <v>14</v>
      </c>
      <c r="N49" t="s">
        <v>14</v>
      </c>
      <c r="O49" t="s">
        <v>94</v>
      </c>
      <c r="P49" t="s">
        <v>7</v>
      </c>
      <c r="Q49" s="5" t="str">
        <f t="shared" si="0"/>
        <v>发达地区</v>
      </c>
      <c r="R49" s="5" t="str">
        <f t="shared" si="1"/>
        <v>有限公司</v>
      </c>
      <c r="S49" s="4">
        <f t="shared" si="2"/>
        <v>45742</v>
      </c>
    </row>
    <row r="50" spans="1:19">
      <c r="A50" s="5" t="s">
        <v>51</v>
      </c>
      <c r="B50" s="5" t="s">
        <v>471</v>
      </c>
      <c r="C50" s="5" t="s">
        <v>472</v>
      </c>
      <c r="D50" s="5" t="s">
        <v>473</v>
      </c>
      <c r="E50" s="5" t="s">
        <v>474</v>
      </c>
      <c r="F50" s="5" t="s">
        <v>475</v>
      </c>
      <c r="G50" s="5" t="s">
        <v>476</v>
      </c>
      <c r="H50" s="4">
        <v>45744</v>
      </c>
      <c r="I50" s="5" t="s">
        <v>102</v>
      </c>
      <c r="J50" s="5" t="s">
        <v>477</v>
      </c>
      <c r="K50" t="s">
        <v>478</v>
      </c>
      <c r="L50" s="5" t="s">
        <v>479</v>
      </c>
      <c r="M50" t="s">
        <v>25</v>
      </c>
      <c r="N50" t="s">
        <v>11</v>
      </c>
      <c r="O50" t="s">
        <v>106</v>
      </c>
      <c r="P50" t="s">
        <v>5</v>
      </c>
      <c r="Q50" s="5" t="str">
        <f t="shared" si="0"/>
        <v>发达地区</v>
      </c>
      <c r="R50" s="5" t="str">
        <f t="shared" si="1"/>
        <v>有限公司</v>
      </c>
      <c r="S50" s="4">
        <f t="shared" si="2"/>
        <v>45744</v>
      </c>
    </row>
    <row r="51" spans="1:19">
      <c r="A51" s="5" t="s">
        <v>90</v>
      </c>
      <c r="B51" s="5" t="s">
        <v>90</v>
      </c>
      <c r="C51" s="5" t="s">
        <v>480</v>
      </c>
      <c r="D51" s="5" t="s">
        <v>481</v>
      </c>
      <c r="E51" s="5" t="s">
        <v>482</v>
      </c>
      <c r="F51" s="5" t="s">
        <v>483</v>
      </c>
      <c r="G51" s="5" t="s">
        <v>90</v>
      </c>
      <c r="H51" s="4">
        <v>45762</v>
      </c>
      <c r="I51" s="5" t="s">
        <v>90</v>
      </c>
      <c r="J51" s="5" t="s">
        <v>347</v>
      </c>
      <c r="K51" t="s">
        <v>484</v>
      </c>
      <c r="L51" s="5" t="s">
        <v>93</v>
      </c>
      <c r="M51" t="s">
        <v>90</v>
      </c>
      <c r="N51" t="s">
        <v>28</v>
      </c>
      <c r="O51" t="s">
        <v>106</v>
      </c>
      <c r="P51" t="s">
        <v>7</v>
      </c>
      <c r="Q51" s="5" t="str">
        <f t="shared" si="0"/>
        <v>普通地区</v>
      </c>
      <c r="R51" s="5" t="str">
        <f t="shared" si="1"/>
        <v>其他</v>
      </c>
      <c r="S51" s="4">
        <f t="shared" si="2"/>
        <v>45762</v>
      </c>
    </row>
  </sheetData>
  <conditionalFormatting sqref="J2:J51">
    <cfRule type="containsText" dxfId="32" priority="2" operator="between" text="二氧化硫">
      <formula>NOT(ISERROR(SEARCH("二氧化硫",J2)))</formula>
    </cfRule>
    <cfRule type="containsText" dxfId="33" priority="1" operator="between" text="霉菌">
      <formula>NOT(ISERROR(SEARCH("霉菌",J2)))</formula>
    </cfRule>
  </conditionalFormatting>
  <conditionalFormatting sqref="P$1:P$1048576">
    <cfRule type="containsText" dxfId="34" priority="4" operator="between" text="严重">
      <formula>NOT(ISERROR(SEARCH("严重",P1)))</formula>
    </cfRule>
    <cfRule type="containsText" dxfId="35" priority="3" operator="between" text="不足">
      <formula>NOT(ISERROR(SEARCH("不足",P1)))</formula>
    </cfRule>
  </conditionalFormatting>
  <conditionalFormatting sqref="M52:M1048576 Q1:Q51">
    <cfRule type="containsText" dxfId="34" priority="5" operator="between" text="严重">
      <formula>NOT(ISERROR(SEARCH("严重",M1)))</formula>
    </cfRule>
  </conditionalFormatting>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B3"/>
    </sheetView>
  </sheetViews>
  <sheetFormatPr defaultColWidth="9" defaultRowHeight="13.8" outlineLevelRow="2" outlineLevelCol="1"/>
  <cols>
    <col min="1" max="1" width="11.7777777777778" customWidth="1"/>
    <col min="2" max="2" width="9.77777777777778" customWidth="1"/>
    <col min="3" max="3" width="80.8888888888889" customWidth="1"/>
    <col min="4" max="4" width="51.2222222222222" customWidth="1"/>
    <col min="5" max="5" width="80.8888888888889" customWidth="1"/>
    <col min="6" max="6" width="51.2222222222222" customWidth="1"/>
    <col min="7" max="7" width="41.1111111111111" customWidth="1"/>
    <col min="8" max="8" width="22.6666666666667" customWidth="1"/>
    <col min="9" max="9" width="22.2222222222222" customWidth="1"/>
    <col min="10" max="10" width="46.7777777777778" customWidth="1"/>
    <col min="11" max="11" width="35.8888888888889" customWidth="1"/>
    <col min="12" max="12" width="76.5555555555556" customWidth="1"/>
    <col min="13" max="13" width="53.5555555555556" customWidth="1"/>
    <col min="14" max="17" width="11.7777777777778" customWidth="1"/>
  </cols>
  <sheetData>
    <row r="1" spans="1:2">
      <c r="A1" t="s">
        <v>0</v>
      </c>
      <c r="B1" t="s">
        <v>485</v>
      </c>
    </row>
    <row r="2" spans="1:2">
      <c r="A2" t="s">
        <v>106</v>
      </c>
      <c r="B2">
        <v>0.4</v>
      </c>
    </row>
    <row r="3" spans="1:2">
      <c r="A3" t="s">
        <v>94</v>
      </c>
      <c r="B3">
        <v>0.6</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U11"/>
  <sheetViews>
    <sheetView workbookViewId="0">
      <selection activeCell="E11" sqref="E11"/>
    </sheetView>
  </sheetViews>
  <sheetFormatPr defaultColWidth="9" defaultRowHeight="13.8"/>
  <sheetData>
    <row r="5" spans="3:3">
      <c r="C5" t="s">
        <v>486</v>
      </c>
    </row>
    <row r="10" spans="5:21">
      <c r="E10" s="1" t="s">
        <v>33</v>
      </c>
      <c r="F10" s="2" t="s">
        <v>75</v>
      </c>
      <c r="G10" s="2" t="s">
        <v>76</v>
      </c>
      <c r="H10" s="2" t="s">
        <v>77</v>
      </c>
      <c r="I10" s="2" t="s">
        <v>78</v>
      </c>
      <c r="J10" s="2" t="s">
        <v>79</v>
      </c>
      <c r="K10" s="2" t="s">
        <v>80</v>
      </c>
      <c r="L10" s="2" t="s">
        <v>81</v>
      </c>
      <c r="M10" s="2" t="s">
        <v>82</v>
      </c>
      <c r="N10" s="2" t="s">
        <v>56</v>
      </c>
      <c r="O10" s="2" t="s">
        <v>83</v>
      </c>
      <c r="P10" s="2" t="s">
        <v>84</v>
      </c>
      <c r="Q10" s="2" t="s">
        <v>85</v>
      </c>
      <c r="R10" s="2" t="s">
        <v>4</v>
      </c>
      <c r="S10" s="2" t="s">
        <v>0</v>
      </c>
      <c r="T10" s="2" t="s">
        <v>3</v>
      </c>
      <c r="U10" s="3" t="s">
        <v>53</v>
      </c>
    </row>
    <row r="11" spans="5:5">
      <c r="E11" t="str">
        <f>_xlfn.TEXTJOIN("、",TRUE,E10:U10)</f>
        <v>标称生产企业名称、标称生产企业地址、被抽样单位名称、被抽样单位地址、样品名称、规格型号、商标、生产日期、保质期、不合格项目、检验值、标准值、标称地址、抽样地址、是否本地、超标程度、是否为落后地区</v>
      </c>
    </row>
  </sheetData>
  <conditionalFormatting sqref="T10">
    <cfRule type="containsText" dxfId="34" priority="2" operator="between" text="严重">
      <formula>NOT(ISERROR(SEARCH("严重",T10)))</formula>
    </cfRule>
    <cfRule type="containsText" dxfId="35" priority="1" operator="between" text="不足">
      <formula>NOT(ISERROR(SEARCH("不足",T10)))</formula>
    </cfRule>
  </conditionalFormatting>
  <conditionalFormatting sqref="U10">
    <cfRule type="containsText" dxfId="34" priority="3" operator="between" text="严重">
      <formula>NOT(ISERROR(SEARCH("严重",U10)))</formula>
    </cfRule>
  </conditionalFormatting>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101C66-3CA1-43A5-B093-364134A88C5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各省风险概况</vt:lpstr>
      <vt:lpstr>企业风险排行榜</vt:lpstr>
      <vt:lpstr>落后地区深度分析</vt:lpstr>
      <vt:lpstr>不合格项目热点分析</vt:lpstr>
      <vt:lpstr>不同程度占比</vt:lpstr>
      <vt:lpstr>按月分布情况</vt:lpstr>
      <vt:lpstr>深度清洗</vt:lpstr>
      <vt:lpstr>是否本地销售</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海成 刘</dc:creator>
  <cp:lastModifiedBy>WPS_1728704335</cp:lastModifiedBy>
  <dcterms:created xsi:type="dcterms:W3CDTF">2026-02-02T11:53:00Z</dcterms:created>
  <dcterms:modified xsi:type="dcterms:W3CDTF">2026-02-05T09:04:49Z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KSOProductBuildVer">
    <vt:lpwstr>2052-12.1.0.21171</vt:lpwstr>
  </property>
  <property fmtid="{D5CDD505-2E9C-101B-9397-08002B2CF9AE}" pid="4" name="ICV">
    <vt:lpwstr>DBC72385DDB94CC8BA482F9DEB314810_12</vt:lpwstr>
  </property>
</Properties>
</file>